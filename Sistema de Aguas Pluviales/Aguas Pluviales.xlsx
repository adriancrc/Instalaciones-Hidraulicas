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adquesada\Desktop\Varios\Cursos\Instlaciones en los Edificios I\Lecciones\Leccion 8\"/>
    </mc:Choice>
  </mc:AlternateContent>
  <xr:revisionPtr revIDLastSave="0" documentId="13_ncr:1_{99645906-7C6B-4CBB-8185-D9645E938BB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9" i="1" l="1"/>
  <c r="F39" i="1"/>
  <c r="F40" i="1"/>
  <c r="C36" i="1"/>
  <c r="F33" i="1"/>
  <c r="B36" i="1"/>
  <c r="B33" i="1"/>
  <c r="C51" i="1"/>
  <c r="F50" i="1" l="1"/>
  <c r="F51" i="1" s="1"/>
  <c r="B30" i="1"/>
  <c r="B27" i="1"/>
  <c r="F27" i="1"/>
  <c r="C47" i="1"/>
  <c r="F30" i="1"/>
  <c r="F36" i="1" l="1"/>
  <c r="E41" i="1" s="1"/>
  <c r="F47" i="1" l="1"/>
  <c r="E52" i="1" s="1"/>
  <c r="C41" i="1"/>
  <c r="F17" i="1" l="1"/>
  <c r="B16" i="1"/>
  <c r="F14" i="1"/>
  <c r="C17" i="1" l="1"/>
  <c r="C18" i="1"/>
  <c r="F18" i="1" l="1"/>
  <c r="C20" i="1" s="1"/>
  <c r="E34" i="1" s="1"/>
  <c r="E31" i="1" l="1"/>
  <c r="E28" i="1"/>
</calcChain>
</file>

<file path=xl/sharedStrings.xml><?xml version="1.0" encoding="utf-8"?>
<sst xmlns="http://schemas.openxmlformats.org/spreadsheetml/2006/main" count="76" uniqueCount="53">
  <si>
    <t xml:space="preserve">Área mojada ( A ) = </t>
  </si>
  <si>
    <t xml:space="preserve">Perímetro mojado ( WP ) = </t>
  </si>
  <si>
    <t>m</t>
  </si>
  <si>
    <t xml:space="preserve">Radio hidraulico ( R ) = </t>
  </si>
  <si>
    <t>Espejo de agua ( T ) =</t>
  </si>
  <si>
    <t xml:space="preserve">Coeficiente de Manning (n) = </t>
  </si>
  <si>
    <t>[adim]</t>
  </si>
  <si>
    <t xml:space="preserve">Profundidad de flujo ( y ) = </t>
  </si>
  <si>
    <t>m/m</t>
  </si>
  <si>
    <t>REVISIÓN DE LA SECCIÓN DE CANOAS PROPUESTAS PARA EDIFICACIONES</t>
  </si>
  <si>
    <t>Sección rectangular</t>
  </si>
  <si>
    <t>b</t>
  </si>
  <si>
    <t xml:space="preserve">    y</t>
  </si>
  <si>
    <t xml:space="preserve">D   </t>
  </si>
  <si>
    <t>Altura (D) =</t>
  </si>
  <si>
    <t>cm</t>
  </si>
  <si>
    <t>L/s</t>
  </si>
  <si>
    <t>l/s</t>
  </si>
  <si>
    <t>mm/h</t>
  </si>
  <si>
    <t>CAUDAL SOPORTADO Q =</t>
  </si>
  <si>
    <t>OBS:</t>
  </si>
  <si>
    <t>CANOA</t>
  </si>
  <si>
    <t>BAJANTE</t>
  </si>
  <si>
    <t>Diámetro</t>
  </si>
  <si>
    <t>mm</t>
  </si>
  <si>
    <t>Caudal máximo en bajante</t>
  </si>
  <si>
    <t>Caudal a drenar</t>
  </si>
  <si>
    <t>SECCIÓN 01</t>
  </si>
  <si>
    <t>Secciones 01,02,03,04</t>
  </si>
  <si>
    <t>Área a drenar</t>
  </si>
  <si>
    <t>Caudal de diseño</t>
  </si>
  <si>
    <t>Cantidad de bajantes</t>
  </si>
  <si>
    <t>und</t>
  </si>
  <si>
    <t>REVISIÓN GLOBAL DE BAJANTES</t>
  </si>
  <si>
    <t>Capacidad de bajantes</t>
  </si>
  <si>
    <t>Periodo de retorno ( T ) =</t>
  </si>
  <si>
    <t>años</t>
  </si>
  <si>
    <t>Intensidad de lluvia ( i ) =</t>
  </si>
  <si>
    <t>Duración ( D ) =</t>
  </si>
  <si>
    <t>min</t>
  </si>
  <si>
    <t>DETERMINACIÓN DE INTENSIDAD DE LLUVIA</t>
  </si>
  <si>
    <t xml:space="preserve">Base (b) = </t>
  </si>
  <si>
    <t xml:space="preserve">Prof de flujo de diseño (y/d) = </t>
  </si>
  <si>
    <r>
      <t>Pendiente inicial ( S</t>
    </r>
    <r>
      <rPr>
        <vertAlign val="subscript"/>
        <sz val="8"/>
        <color theme="1"/>
        <rFont val="Arial"/>
        <family val="2"/>
      </rPr>
      <t>0</t>
    </r>
    <r>
      <rPr>
        <sz val="8"/>
        <color theme="1"/>
        <rFont val="Arial"/>
        <family val="2"/>
      </rPr>
      <t xml:space="preserve"> ) = </t>
    </r>
  </si>
  <si>
    <r>
      <t>m</t>
    </r>
    <r>
      <rPr>
        <vertAlign val="superscript"/>
        <sz val="8"/>
        <color theme="1"/>
        <rFont val="Arial"/>
        <family val="2"/>
      </rPr>
      <t>2</t>
    </r>
  </si>
  <si>
    <r>
      <t>C</t>
    </r>
    <r>
      <rPr>
        <b/>
        <vertAlign val="subscript"/>
        <sz val="8"/>
        <color theme="1"/>
        <rFont val="Arial"/>
        <family val="2"/>
      </rPr>
      <t xml:space="preserve"> techos</t>
    </r>
  </si>
  <si>
    <r>
      <t>Caudal de Diseño ( Q</t>
    </r>
    <r>
      <rPr>
        <vertAlign val="subscript"/>
        <sz val="8"/>
        <color theme="1"/>
        <rFont val="Arial"/>
        <family val="2"/>
      </rPr>
      <t>DISEÑO 01(A)</t>
    </r>
    <r>
      <rPr>
        <sz val="8"/>
        <color theme="1"/>
        <rFont val="Arial"/>
        <family val="2"/>
      </rPr>
      <t xml:space="preserve"> ) =  </t>
    </r>
  </si>
  <si>
    <r>
      <t>Caudal de Diseño ( Q</t>
    </r>
    <r>
      <rPr>
        <vertAlign val="subscript"/>
        <sz val="8"/>
        <color theme="1"/>
        <rFont val="Arial"/>
        <family val="2"/>
      </rPr>
      <t>DISEÑO 01(B)</t>
    </r>
    <r>
      <rPr>
        <sz val="8"/>
        <color theme="1"/>
        <rFont val="Arial"/>
        <family val="2"/>
      </rPr>
      <t xml:space="preserve"> ) =  </t>
    </r>
  </si>
  <si>
    <r>
      <t>Caudal de Diseño ( Q</t>
    </r>
    <r>
      <rPr>
        <vertAlign val="subscript"/>
        <sz val="8"/>
        <color theme="1"/>
        <rFont val="Arial"/>
        <family val="2"/>
      </rPr>
      <t>DISEÑO 01(A+B)</t>
    </r>
    <r>
      <rPr>
        <sz val="8"/>
        <color theme="1"/>
        <rFont val="Arial"/>
        <family val="2"/>
      </rPr>
      <t xml:space="preserve"> ) =  </t>
    </r>
  </si>
  <si>
    <r>
      <t>m</t>
    </r>
    <r>
      <rPr>
        <vertAlign val="super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 xml:space="preserve"> </t>
    </r>
  </si>
  <si>
    <t>Cantidad</t>
  </si>
  <si>
    <t>Caudal máximo soportado en todos bajantes</t>
  </si>
  <si>
    <t>l /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</si>
</sst>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7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vertAlign val="subscript"/>
      <sz val="8"/>
      <color theme="1"/>
      <name val="Arial"/>
      <family val="2"/>
    </font>
    <font>
      <vertAlign val="superscript"/>
      <sz val="8"/>
      <color theme="1"/>
      <name val="Arial"/>
      <family val="2"/>
    </font>
    <font>
      <b/>
      <vertAlign val="subscript"/>
      <sz val="8"/>
      <color theme="1"/>
      <name val="Arial"/>
      <family val="2"/>
    </font>
    <font>
      <sz val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Dashed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 style="medium">
        <color indexed="64"/>
      </right>
      <top style="mediumDashed">
        <color indexed="64"/>
      </top>
      <bottom/>
      <diagonal/>
    </border>
    <border>
      <left style="medium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medium">
        <color indexed="64"/>
      </right>
      <top/>
      <bottom style="mediumDashed">
        <color indexed="64"/>
      </bottom>
      <diagonal/>
    </border>
    <border>
      <left style="medium">
        <color indexed="64"/>
      </left>
      <right/>
      <top style="mediumDashed">
        <color indexed="64"/>
      </top>
      <bottom style="medium">
        <color indexed="64"/>
      </bottom>
      <diagonal/>
    </border>
    <border>
      <left/>
      <right/>
      <top style="mediumDashed">
        <color indexed="64"/>
      </top>
      <bottom style="medium">
        <color indexed="64"/>
      </bottom>
      <diagonal/>
    </border>
    <border>
      <left/>
      <right style="medium">
        <color indexed="64"/>
      </right>
      <top style="mediumDashed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Border="1" applyAlignment="1">
      <alignment horizontal="right" vertical="top"/>
    </xf>
    <xf numFmtId="0" fontId="1" fillId="0" borderId="0" xfId="0" applyFont="1" applyBorder="1" applyAlignment="1">
      <alignment vertical="top"/>
    </xf>
    <xf numFmtId="0" fontId="1" fillId="0" borderId="9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2" fontId="1" fillId="2" borderId="0" xfId="0" applyNumberFormat="1" applyFont="1" applyFill="1" applyBorder="1" applyAlignment="1">
      <alignment vertical="center"/>
    </xf>
    <xf numFmtId="165" fontId="1" fillId="0" borderId="0" xfId="0" applyNumberFormat="1" applyFont="1" applyBorder="1" applyAlignment="1">
      <alignment horizontal="right" vertical="center"/>
    </xf>
    <xf numFmtId="0" fontId="1" fillId="0" borderId="0" xfId="0" applyFont="1" applyFill="1" applyBorder="1" applyAlignment="1">
      <alignment vertical="center"/>
    </xf>
    <xf numFmtId="164" fontId="1" fillId="0" borderId="0" xfId="0" applyNumberFormat="1" applyFont="1" applyBorder="1" applyAlignment="1">
      <alignment horizontal="right" vertical="center"/>
    </xf>
    <xf numFmtId="0" fontId="2" fillId="10" borderId="1" xfId="0" applyFont="1" applyFill="1" applyBorder="1" applyAlignment="1">
      <alignment vertical="center"/>
    </xf>
    <xf numFmtId="0" fontId="1" fillId="10" borderId="2" xfId="0" applyFont="1" applyFill="1" applyBorder="1" applyAlignment="1">
      <alignment vertical="center"/>
    </xf>
    <xf numFmtId="0" fontId="1" fillId="10" borderId="2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vertical="center"/>
    </xf>
    <xf numFmtId="0" fontId="1" fillId="9" borderId="4" xfId="0" applyFont="1" applyFill="1" applyBorder="1" applyAlignment="1">
      <alignment horizontal="right" vertical="center"/>
    </xf>
    <xf numFmtId="164" fontId="1" fillId="9" borderId="0" xfId="0" applyNumberFormat="1" applyFont="1" applyFill="1" applyBorder="1" applyAlignment="1">
      <alignment vertical="center"/>
    </xf>
    <xf numFmtId="0" fontId="1" fillId="9" borderId="0" xfId="0" applyFont="1" applyFill="1" applyBorder="1" applyAlignment="1">
      <alignment horizontal="center" vertical="center"/>
    </xf>
    <xf numFmtId="0" fontId="1" fillId="9" borderId="0" xfId="0" applyFont="1" applyFill="1" applyBorder="1" applyAlignment="1">
      <alignment horizontal="right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17" xfId="0" applyFont="1" applyFill="1" applyBorder="1" applyAlignment="1">
      <alignment vertical="center"/>
    </xf>
    <xf numFmtId="0" fontId="1" fillId="9" borderId="18" xfId="0" applyFont="1" applyFill="1" applyBorder="1" applyAlignment="1">
      <alignment vertical="center"/>
    </xf>
    <xf numFmtId="0" fontId="1" fillId="9" borderId="18" xfId="0" applyFont="1" applyFill="1" applyBorder="1" applyAlignment="1">
      <alignment horizontal="right" vertical="center"/>
    </xf>
    <xf numFmtId="164" fontId="1" fillId="9" borderId="18" xfId="0" applyNumberFormat="1" applyFont="1" applyFill="1" applyBorder="1" applyAlignment="1">
      <alignment vertical="center"/>
    </xf>
    <xf numFmtId="0" fontId="1" fillId="9" borderId="19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right" vertical="center"/>
    </xf>
    <xf numFmtId="2" fontId="2" fillId="3" borderId="11" xfId="0" applyNumberFormat="1" applyFont="1" applyFill="1" applyBorder="1" applyAlignment="1">
      <alignment vertical="center"/>
    </xf>
    <xf numFmtId="0" fontId="2" fillId="3" borderId="1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0" fontId="2" fillId="10" borderId="1" xfId="0" applyFont="1" applyFill="1" applyBorder="1" applyAlignment="1">
      <alignment horizontal="left" vertical="center"/>
    </xf>
    <xf numFmtId="164" fontId="1" fillId="10" borderId="2" xfId="0" applyNumberFormat="1" applyFont="1" applyFill="1" applyBorder="1" applyAlignment="1">
      <alignment horizontal="center" vertical="center"/>
    </xf>
    <xf numFmtId="10" fontId="1" fillId="10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right" vertical="center"/>
    </xf>
    <xf numFmtId="2" fontId="2" fillId="9" borderId="0" xfId="0" applyNumberFormat="1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10" fontId="2" fillId="9" borderId="5" xfId="0" applyNumberFormat="1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10" fontId="1" fillId="9" borderId="11" xfId="0" applyNumberFormat="1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vertical="center"/>
    </xf>
    <xf numFmtId="10" fontId="1" fillId="6" borderId="15" xfId="0" applyNumberFormat="1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right" vertical="center"/>
    </xf>
    <xf numFmtId="2" fontId="1" fillId="8" borderId="0" xfId="0" applyNumberFormat="1" applyFont="1" applyFill="1" applyBorder="1" applyAlignment="1">
      <alignment horizontal="center" vertical="center"/>
    </xf>
    <xf numFmtId="10" fontId="1" fillId="6" borderId="0" xfId="0" applyNumberFormat="1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right" vertical="center"/>
    </xf>
    <xf numFmtId="2" fontId="6" fillId="6" borderId="0" xfId="0" applyNumberFormat="1" applyFont="1" applyFill="1" applyBorder="1" applyAlignment="1">
      <alignment horizontal="right" vertical="center"/>
    </xf>
    <xf numFmtId="10" fontId="1" fillId="6" borderId="5" xfId="0" applyNumberFormat="1" applyFont="1" applyFill="1" applyBorder="1" applyAlignment="1">
      <alignment horizontal="center" vertical="center"/>
    </xf>
    <xf numFmtId="2" fontId="1" fillId="6" borderId="0" xfId="0" applyNumberFormat="1" applyFont="1" applyFill="1" applyBorder="1" applyAlignment="1">
      <alignment horizontal="center" vertical="center"/>
    </xf>
    <xf numFmtId="10" fontId="2" fillId="6" borderId="0" xfId="0" applyNumberFormat="1" applyFont="1" applyFill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2" fontId="1" fillId="4" borderId="0" xfId="0" applyNumberFormat="1" applyFont="1" applyFill="1" applyBorder="1" applyAlignment="1">
      <alignment horizontal="center" vertical="center"/>
    </xf>
    <xf numFmtId="2" fontId="1" fillId="5" borderId="0" xfId="0" applyNumberFormat="1" applyFont="1" applyFill="1" applyBorder="1" applyAlignment="1">
      <alignment vertical="center"/>
    </xf>
    <xf numFmtId="0" fontId="1" fillId="6" borderId="5" xfId="0" applyFont="1" applyFill="1" applyBorder="1" applyAlignment="1">
      <alignment horizontal="center" vertical="center"/>
    </xf>
    <xf numFmtId="2" fontId="1" fillId="6" borderId="0" xfId="0" applyNumberFormat="1" applyFont="1" applyFill="1" applyBorder="1" applyAlignment="1">
      <alignment vertical="center"/>
    </xf>
    <xf numFmtId="0" fontId="2" fillId="6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6" borderId="5" xfId="0" applyFont="1" applyFill="1" applyBorder="1" applyAlignment="1">
      <alignment vertical="center"/>
    </xf>
    <xf numFmtId="0" fontId="2" fillId="7" borderId="4" xfId="0" applyFont="1" applyFill="1" applyBorder="1" applyAlignment="1">
      <alignment horizontal="right" vertical="center"/>
    </xf>
    <xf numFmtId="2" fontId="1" fillId="7" borderId="0" xfId="0" applyNumberFormat="1" applyFont="1" applyFill="1" applyBorder="1" applyAlignment="1">
      <alignment horizontal="center" vertical="center"/>
    </xf>
    <xf numFmtId="10" fontId="1" fillId="7" borderId="0" xfId="0" applyNumberFormat="1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right" vertical="center"/>
    </xf>
    <xf numFmtId="2" fontId="6" fillId="7" borderId="0" xfId="0" applyNumberFormat="1" applyFont="1" applyFill="1" applyBorder="1" applyAlignment="1">
      <alignment horizontal="right" vertical="center"/>
    </xf>
    <xf numFmtId="10" fontId="1" fillId="7" borderId="5" xfId="0" applyNumberFormat="1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2" fontId="1" fillId="7" borderId="21" xfId="0" applyNumberFormat="1" applyFont="1" applyFill="1" applyBorder="1" applyAlignment="1">
      <alignment vertical="center"/>
    </xf>
    <xf numFmtId="0" fontId="1" fillId="7" borderId="21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1" fillId="7" borderId="21" xfId="0" applyFont="1" applyFill="1" applyBorder="1" applyAlignment="1">
      <alignment vertical="center"/>
    </xf>
    <xf numFmtId="0" fontId="1" fillId="7" borderId="22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right" vertical="center"/>
    </xf>
    <xf numFmtId="2" fontId="1" fillId="6" borderId="2" xfId="0" applyNumberFormat="1" applyFont="1" applyFill="1" applyBorder="1" applyAlignment="1">
      <alignment horizontal="center" vertical="center"/>
    </xf>
    <xf numFmtId="10" fontId="1" fillId="6" borderId="2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right" vertical="center"/>
    </xf>
    <xf numFmtId="2" fontId="6" fillId="6" borderId="2" xfId="0" applyNumberFormat="1" applyFont="1" applyFill="1" applyBorder="1" applyAlignment="1">
      <alignment horizontal="right" vertical="center"/>
    </xf>
    <xf numFmtId="10" fontId="1" fillId="6" borderId="3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right" vertical="center"/>
    </xf>
    <xf numFmtId="1" fontId="1" fillId="6" borderId="0" xfId="0" applyNumberFormat="1" applyFont="1" applyFill="1" applyBorder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1" fillId="4" borderId="0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right" vertical="center"/>
    </xf>
    <xf numFmtId="2" fontId="2" fillId="3" borderId="7" xfId="0" applyNumberFormat="1" applyFont="1" applyFill="1" applyBorder="1" applyAlignment="1">
      <alignment horizontal="right" vertical="center"/>
    </xf>
    <xf numFmtId="10" fontId="2" fillId="3" borderId="7" xfId="0" applyNumberFormat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right" vertical="center"/>
    </xf>
    <xf numFmtId="164" fontId="2" fillId="3" borderId="7" xfId="0" applyNumberFormat="1" applyFont="1" applyFill="1" applyBorder="1" applyAlignment="1">
      <alignment horizontal="right" vertical="center"/>
    </xf>
    <xf numFmtId="10" fontId="2" fillId="3" borderId="8" xfId="0" applyNumberFormat="1" applyFont="1" applyFill="1" applyBorder="1" applyAlignment="1">
      <alignment horizontal="center" vertical="center"/>
    </xf>
    <xf numFmtId="10" fontId="1" fillId="2" borderId="0" xfId="0" applyNumberFormat="1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885827</xdr:colOff>
      <xdr:row>3</xdr:row>
      <xdr:rowOff>11906</xdr:rowOff>
    </xdr:from>
    <xdr:to>
      <xdr:col>2</xdr:col>
      <xdr:colOff>887015</xdr:colOff>
      <xdr:row>5</xdr:row>
      <xdr:rowOff>19051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3112296" y="1178719"/>
          <a:ext cx="1188" cy="3881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876300</xdr:colOff>
      <xdr:row>6</xdr:row>
      <xdr:rowOff>4763</xdr:rowOff>
    </xdr:from>
    <xdr:to>
      <xdr:col>2</xdr:col>
      <xdr:colOff>878681</xdr:colOff>
      <xdr:row>7</xdr:row>
      <xdr:rowOff>2381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>
          <a:off x="3105150" y="1547813"/>
          <a:ext cx="2381" cy="1976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7144</xdr:colOff>
      <xdr:row>7</xdr:row>
      <xdr:rowOff>114300</xdr:rowOff>
    </xdr:from>
    <xdr:to>
      <xdr:col>3</xdr:col>
      <xdr:colOff>316706</xdr:colOff>
      <xdr:row>7</xdr:row>
      <xdr:rowOff>116681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H="1" flipV="1">
          <a:off x="3283744" y="1857375"/>
          <a:ext cx="309562" cy="23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414338</xdr:colOff>
      <xdr:row>7</xdr:row>
      <xdr:rowOff>116681</xdr:rowOff>
    </xdr:from>
    <xdr:to>
      <xdr:col>4</xdr:col>
      <xdr:colOff>2381</xdr:colOff>
      <xdr:row>7</xdr:row>
      <xdr:rowOff>116681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3690938" y="1859756"/>
          <a:ext cx="30241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173831</xdr:colOff>
      <xdr:row>6</xdr:row>
      <xdr:rowOff>15039</xdr:rowOff>
    </xdr:from>
    <xdr:to>
      <xdr:col>4</xdr:col>
      <xdr:colOff>175460</xdr:colOff>
      <xdr:row>6</xdr:row>
      <xdr:rowOff>195263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H="1">
          <a:off x="4169318" y="1559092"/>
          <a:ext cx="1629" cy="1802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171450</xdr:colOff>
      <xdr:row>4</xdr:row>
      <xdr:rowOff>4578</xdr:rowOff>
    </xdr:from>
    <xdr:to>
      <xdr:col>4</xdr:col>
      <xdr:colOff>174287</xdr:colOff>
      <xdr:row>5</xdr:row>
      <xdr:rowOff>12159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H="1" flipV="1">
          <a:off x="4163844" y="1354291"/>
          <a:ext cx="2837" cy="1980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19875</xdr:colOff>
      <xdr:row>3</xdr:row>
      <xdr:rowOff>188170</xdr:rowOff>
    </xdr:from>
    <xdr:to>
      <xdr:col>4</xdr:col>
      <xdr:colOff>0</xdr:colOff>
      <xdr:row>6</xdr:row>
      <xdr:rowOff>190407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3299788" y="1347735"/>
          <a:ext cx="692429" cy="57373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topLeftCell="A10" zoomScale="155" zoomScaleNormal="155" workbookViewId="0">
      <selection activeCell="F10" sqref="F10"/>
    </sheetView>
  </sheetViews>
  <sheetFormatPr baseColWidth="10" defaultRowHeight="15" x14ac:dyDescent="0.25"/>
  <cols>
    <col min="1" max="1" width="2.7109375" style="1" customWidth="1"/>
    <col min="2" max="2" width="30.7109375" style="2" customWidth="1"/>
    <col min="3" max="3" width="15.7109375" style="2" customWidth="1"/>
    <col min="4" max="4" width="10.7109375" style="2" customWidth="1"/>
    <col min="5" max="5" width="30.7109375" style="2" customWidth="1"/>
    <col min="6" max="6" width="15.7109375" style="2" customWidth="1"/>
    <col min="7" max="7" width="10.7109375" style="2" customWidth="1"/>
    <col min="8" max="8" width="2.7109375" style="2" customWidth="1"/>
    <col min="9" max="11" width="11.42578125" style="1"/>
    <col min="12" max="16384" width="11.42578125" style="2"/>
  </cols>
  <sheetData>
    <row r="1" spans="2:8" s="2" customFormat="1" ht="12" thickBot="1" x14ac:dyDescent="0.3"/>
    <row r="2" spans="2:8" s="2" customFormat="1" ht="12" thickBot="1" x14ac:dyDescent="0.3">
      <c r="B2" s="107" t="s">
        <v>9</v>
      </c>
      <c r="C2" s="108"/>
      <c r="D2" s="108"/>
      <c r="E2" s="108"/>
      <c r="F2" s="108"/>
      <c r="G2" s="109"/>
    </row>
    <row r="3" spans="2:8" s="2" customFormat="1" ht="11.25" x14ac:dyDescent="0.25">
      <c r="B3" s="3"/>
      <c r="C3" s="4"/>
      <c r="D3" s="4"/>
      <c r="E3" s="4"/>
      <c r="F3" s="4"/>
      <c r="G3" s="5"/>
    </row>
    <row r="4" spans="2:8" s="2" customFormat="1" ht="11.25" x14ac:dyDescent="0.25">
      <c r="B4" s="6"/>
      <c r="C4" s="7"/>
      <c r="D4" s="8"/>
      <c r="E4" s="7"/>
      <c r="F4" s="7"/>
      <c r="G4" s="9"/>
    </row>
    <row r="5" spans="2:8" s="2" customFormat="1" ht="11.25" x14ac:dyDescent="0.25">
      <c r="B5" s="6" t="s">
        <v>10</v>
      </c>
      <c r="C5" s="7"/>
      <c r="D5" s="8"/>
      <c r="E5" s="7"/>
      <c r="F5" s="7"/>
      <c r="G5" s="9"/>
    </row>
    <row r="6" spans="2:8" s="2" customFormat="1" ht="11.25" x14ac:dyDescent="0.25">
      <c r="B6" s="6"/>
      <c r="C6" s="10" t="s">
        <v>13</v>
      </c>
      <c r="D6" s="8"/>
      <c r="E6" s="11" t="s">
        <v>12</v>
      </c>
      <c r="F6" s="7"/>
      <c r="G6" s="9"/>
    </row>
    <row r="7" spans="2:8" s="2" customFormat="1" ht="12" thickBot="1" x14ac:dyDescent="0.3">
      <c r="B7" s="6"/>
      <c r="C7" s="7"/>
      <c r="D7" s="12"/>
      <c r="E7" s="7"/>
      <c r="F7" s="7"/>
      <c r="G7" s="9"/>
    </row>
    <row r="8" spans="2:8" s="2" customFormat="1" ht="12" thickTop="1" x14ac:dyDescent="0.25">
      <c r="B8" s="6"/>
      <c r="C8" s="13"/>
      <c r="D8" s="13" t="s">
        <v>11</v>
      </c>
      <c r="E8" s="7"/>
      <c r="F8" s="7"/>
      <c r="G8" s="9"/>
    </row>
    <row r="9" spans="2:8" s="2" customFormat="1" ht="11.25" x14ac:dyDescent="0.25">
      <c r="B9" s="6"/>
      <c r="C9" s="7"/>
      <c r="D9" s="7"/>
      <c r="E9" s="7"/>
      <c r="F9" s="7"/>
      <c r="G9" s="9"/>
    </row>
    <row r="10" spans="2:8" s="2" customFormat="1" ht="11.25" x14ac:dyDescent="0.25">
      <c r="B10" s="14" t="s">
        <v>41</v>
      </c>
      <c r="C10" s="15">
        <v>14.5</v>
      </c>
      <c r="D10" s="13" t="s">
        <v>15</v>
      </c>
      <c r="E10" s="16" t="s">
        <v>14</v>
      </c>
      <c r="F10" s="15">
        <v>14.5</v>
      </c>
      <c r="G10" s="17" t="s">
        <v>15</v>
      </c>
      <c r="H10" s="7"/>
    </row>
    <row r="11" spans="2:8" s="2" customFormat="1" ht="11.25" x14ac:dyDescent="0.25">
      <c r="B11" s="6"/>
      <c r="C11" s="13"/>
      <c r="D11" s="7"/>
      <c r="E11" s="7"/>
      <c r="F11" s="7"/>
      <c r="G11" s="9"/>
      <c r="H11" s="7"/>
    </row>
    <row r="12" spans="2:8" s="2" customFormat="1" ht="11.25" x14ac:dyDescent="0.25">
      <c r="B12" s="14" t="s">
        <v>42</v>
      </c>
      <c r="C12" s="18">
        <v>0.75</v>
      </c>
      <c r="D12" s="7"/>
      <c r="E12" s="16" t="s">
        <v>5</v>
      </c>
      <c r="F12" s="19">
        <v>1.4999999999999999E-2</v>
      </c>
      <c r="G12" s="17" t="s">
        <v>6</v>
      </c>
      <c r="H12" s="7"/>
    </row>
    <row r="13" spans="2:8" s="2" customFormat="1" ht="11.25" x14ac:dyDescent="0.25">
      <c r="B13" s="6"/>
      <c r="C13" s="20"/>
      <c r="D13" s="16"/>
      <c r="E13" s="13"/>
      <c r="F13" s="7"/>
      <c r="G13" s="9"/>
      <c r="H13" s="7"/>
    </row>
    <row r="14" spans="2:8" s="2" customFormat="1" ht="11.25" x14ac:dyDescent="0.25">
      <c r="B14" s="14" t="s">
        <v>43</v>
      </c>
      <c r="C14" s="106">
        <v>1E-3</v>
      </c>
      <c r="D14" s="13" t="s">
        <v>8</v>
      </c>
      <c r="E14" s="16" t="s">
        <v>7</v>
      </c>
      <c r="F14" s="21">
        <f>F10*C12</f>
        <v>10.875</v>
      </c>
      <c r="G14" s="17" t="s">
        <v>15</v>
      </c>
      <c r="H14" s="7"/>
    </row>
    <row r="15" spans="2:8" s="2" customFormat="1" ht="12" thickBot="1" x14ac:dyDescent="0.3">
      <c r="B15" s="6"/>
      <c r="C15" s="7"/>
      <c r="D15" s="7"/>
      <c r="E15" s="7"/>
      <c r="F15" s="7"/>
      <c r="G15" s="9"/>
      <c r="H15" s="7"/>
    </row>
    <row r="16" spans="2:8" s="2" customFormat="1" ht="11.25" x14ac:dyDescent="0.25">
      <c r="B16" s="22" t="str">
        <f>"PROPIEDADES DE LA SECCION CON y/d = "&amp;C12</f>
        <v>PROPIEDADES DE LA SECCION CON y/d = 0.75</v>
      </c>
      <c r="C16" s="23"/>
      <c r="D16" s="23"/>
      <c r="E16" s="24"/>
      <c r="F16" s="23"/>
      <c r="G16" s="25"/>
      <c r="H16" s="7"/>
    </row>
    <row r="17" spans="1:11" s="2" customFormat="1" ht="11.25" x14ac:dyDescent="0.25">
      <c r="B17" s="26" t="s">
        <v>0</v>
      </c>
      <c r="C17" s="27">
        <f>(F14/100)*(C10/100)</f>
        <v>1.5768749999999998E-2</v>
      </c>
      <c r="D17" s="28" t="s">
        <v>44</v>
      </c>
      <c r="E17" s="29" t="s">
        <v>4</v>
      </c>
      <c r="F17" s="27">
        <f>C10/100</f>
        <v>0.14499999999999999</v>
      </c>
      <c r="G17" s="30" t="s">
        <v>2</v>
      </c>
      <c r="H17" s="7"/>
    </row>
    <row r="18" spans="1:11" s="2" customFormat="1" ht="11.25" x14ac:dyDescent="0.25">
      <c r="B18" s="26" t="s">
        <v>1</v>
      </c>
      <c r="C18" s="27">
        <f>(C10/100)+2*(F14/100)</f>
        <v>0.36249999999999999</v>
      </c>
      <c r="D18" s="28" t="s">
        <v>2</v>
      </c>
      <c r="E18" s="29" t="s">
        <v>3</v>
      </c>
      <c r="F18" s="27">
        <f>C17/C18</f>
        <v>4.3499999999999997E-2</v>
      </c>
      <c r="G18" s="30" t="s">
        <v>2</v>
      </c>
      <c r="H18" s="7"/>
    </row>
    <row r="19" spans="1:11" ht="12" thickBot="1" x14ac:dyDescent="0.3">
      <c r="A19" s="2"/>
      <c r="B19" s="31"/>
      <c r="C19" s="32"/>
      <c r="D19" s="32"/>
      <c r="E19" s="33"/>
      <c r="F19" s="34"/>
      <c r="G19" s="35"/>
      <c r="H19" s="7"/>
      <c r="I19" s="2"/>
      <c r="J19" s="2"/>
      <c r="K19" s="2"/>
    </row>
    <row r="20" spans="1:11" ht="12" thickBot="1" x14ac:dyDescent="0.3">
      <c r="A20" s="2"/>
      <c r="B20" s="36" t="s">
        <v>19</v>
      </c>
      <c r="C20" s="37">
        <f>ROUNDUP((1000/F12)*(C17)*((F18)^(2/3))*(C14^(1/2)),1)</f>
        <v>4.1999999999999993</v>
      </c>
      <c r="D20" s="38" t="s">
        <v>16</v>
      </c>
      <c r="E20" s="39"/>
      <c r="F20" s="39"/>
      <c r="G20" s="40"/>
      <c r="H20" s="7"/>
      <c r="I20" s="2"/>
      <c r="J20" s="2"/>
      <c r="K20" s="2"/>
    </row>
    <row r="21" spans="1:11" ht="12" thickBot="1" x14ac:dyDescent="0.3">
      <c r="A21" s="2"/>
      <c r="B21" s="6"/>
      <c r="C21" s="7"/>
      <c r="D21" s="7"/>
      <c r="E21" s="7"/>
      <c r="F21" s="7"/>
      <c r="G21" s="9"/>
      <c r="H21" s="7"/>
      <c r="I21" s="2"/>
      <c r="J21" s="2"/>
      <c r="K21" s="2"/>
    </row>
    <row r="22" spans="1:11" ht="11.25" x14ac:dyDescent="0.25">
      <c r="A22" s="2"/>
      <c r="B22" s="41" t="s">
        <v>40</v>
      </c>
      <c r="C22" s="42"/>
      <c r="D22" s="43"/>
      <c r="E22" s="44"/>
      <c r="F22" s="23"/>
      <c r="G22" s="25"/>
      <c r="H22" s="7"/>
      <c r="I22" s="2"/>
      <c r="J22" s="2"/>
      <c r="K22" s="2"/>
    </row>
    <row r="23" spans="1:11" s="2" customFormat="1" ht="11.25" x14ac:dyDescent="0.25">
      <c r="B23" s="26" t="s">
        <v>35</v>
      </c>
      <c r="C23" s="28">
        <v>25</v>
      </c>
      <c r="D23" s="28" t="s">
        <v>36</v>
      </c>
      <c r="E23" s="45" t="s">
        <v>37</v>
      </c>
      <c r="F23" s="46">
        <v>210</v>
      </c>
      <c r="G23" s="47" t="s">
        <v>18</v>
      </c>
      <c r="H23" s="7"/>
    </row>
    <row r="24" spans="1:11" s="2" customFormat="1" ht="11.25" x14ac:dyDescent="0.25">
      <c r="B24" s="26" t="s">
        <v>38</v>
      </c>
      <c r="C24" s="28">
        <v>15</v>
      </c>
      <c r="D24" s="28" t="s">
        <v>39</v>
      </c>
      <c r="E24" s="48" t="s">
        <v>45</v>
      </c>
      <c r="F24" s="48">
        <v>0.95</v>
      </c>
      <c r="G24" s="49" t="s">
        <v>6</v>
      </c>
      <c r="H24" s="7"/>
    </row>
    <row r="25" spans="1:11" ht="12" thickBot="1" x14ac:dyDescent="0.3">
      <c r="A25" s="2"/>
      <c r="B25" s="50"/>
      <c r="C25" s="51"/>
      <c r="D25" s="52"/>
      <c r="E25" s="51"/>
      <c r="F25" s="51"/>
      <c r="G25" s="53"/>
      <c r="H25" s="7"/>
      <c r="I25" s="2"/>
      <c r="J25" s="2"/>
      <c r="K25" s="2"/>
    </row>
    <row r="26" spans="1:11" ht="11.25" x14ac:dyDescent="0.25">
      <c r="A26" s="2"/>
      <c r="B26" s="54" t="s">
        <v>21</v>
      </c>
      <c r="C26" s="55" t="s">
        <v>27</v>
      </c>
      <c r="D26" s="56"/>
      <c r="E26" s="57"/>
      <c r="F26" s="55"/>
      <c r="G26" s="58"/>
      <c r="H26" s="7"/>
      <c r="I26" s="2"/>
      <c r="J26" s="2"/>
      <c r="K26" s="2"/>
    </row>
    <row r="27" spans="1:11" s="2" customFormat="1" ht="11.25" x14ac:dyDescent="0.25">
      <c r="B27" s="59" t="str">
        <f>"Área "&amp;C26&amp;" (A)"</f>
        <v>Área SECCIÓN 01 (A)</v>
      </c>
      <c r="C27" s="60">
        <v>32</v>
      </c>
      <c r="D27" s="61" t="s">
        <v>44</v>
      </c>
      <c r="E27" s="62" t="s">
        <v>46</v>
      </c>
      <c r="F27" s="63">
        <f>($F$24*$F$23*C27)/3600</f>
        <v>1.7733333333333334</v>
      </c>
      <c r="G27" s="64" t="s">
        <v>17</v>
      </c>
      <c r="H27" s="7"/>
    </row>
    <row r="28" spans="1:11" ht="15" customHeight="1" x14ac:dyDescent="0.25">
      <c r="A28" s="2"/>
      <c r="B28" s="59"/>
      <c r="C28" s="65"/>
      <c r="D28" s="66" t="s">
        <v>20</v>
      </c>
      <c r="E28" s="67" t="str">
        <f>IF(F27&gt;$C$20,"SECCIÓN DE CANOA INSUFICIENTE","CANOA ADECUADA")</f>
        <v>CANOA ADECUADA</v>
      </c>
      <c r="F28" s="63"/>
      <c r="G28" s="64"/>
      <c r="H28" s="7"/>
      <c r="I28" s="2"/>
      <c r="J28" s="2"/>
      <c r="K28" s="2"/>
    </row>
    <row r="29" spans="1:11" ht="15" customHeight="1" x14ac:dyDescent="0.25">
      <c r="A29" s="2"/>
      <c r="B29" s="59"/>
      <c r="C29" s="65"/>
      <c r="D29" s="61"/>
      <c r="E29" s="62"/>
      <c r="F29" s="63"/>
      <c r="G29" s="64"/>
      <c r="H29" s="7"/>
      <c r="I29" s="2"/>
      <c r="J29" s="2"/>
      <c r="K29" s="2"/>
    </row>
    <row r="30" spans="1:11" s="2" customFormat="1" ht="15" customHeight="1" x14ac:dyDescent="0.25">
      <c r="B30" s="59" t="str">
        <f>"Área "&amp;C26&amp;" (B)"</f>
        <v>Área SECCIÓN 01 (B)</v>
      </c>
      <c r="C30" s="60"/>
      <c r="D30" s="61" t="s">
        <v>44</v>
      </c>
      <c r="E30" s="62" t="s">
        <v>47</v>
      </c>
      <c r="F30" s="63">
        <f>($F$24*$F$23*C30)/3600</f>
        <v>0</v>
      </c>
      <c r="G30" s="64" t="s">
        <v>17</v>
      </c>
      <c r="H30" s="7"/>
    </row>
    <row r="31" spans="1:11" ht="15" customHeight="1" x14ac:dyDescent="0.25">
      <c r="A31" s="2"/>
      <c r="B31" s="59"/>
      <c r="C31" s="65"/>
      <c r="D31" s="66" t="s">
        <v>20</v>
      </c>
      <c r="E31" s="67" t="str">
        <f>IF(F30&gt;$C$20,"SECCIÓN DE CANOA INSUFICIENTE","CANOA ADECUADA")</f>
        <v>CANOA ADECUADA</v>
      </c>
      <c r="F31" s="63"/>
      <c r="G31" s="64"/>
      <c r="H31" s="7"/>
      <c r="I31" s="2"/>
      <c r="J31" s="2"/>
      <c r="K31" s="2"/>
    </row>
    <row r="32" spans="1:11" ht="15" customHeight="1" x14ac:dyDescent="0.25">
      <c r="A32" s="2"/>
      <c r="B32" s="59"/>
      <c r="C32" s="65"/>
      <c r="D32" s="61"/>
      <c r="E32" s="62"/>
      <c r="F32" s="63"/>
      <c r="G32" s="64"/>
      <c r="H32" s="7"/>
      <c r="I32" s="2"/>
      <c r="J32" s="2"/>
      <c r="K32" s="2"/>
    </row>
    <row r="33" spans="1:11" s="2" customFormat="1" ht="15" customHeight="1" x14ac:dyDescent="0.25">
      <c r="B33" s="59" t="str">
        <f>"Área "&amp;C26&amp;" (C)"</f>
        <v>Área SECCIÓN 01 (C)</v>
      </c>
      <c r="C33" s="60"/>
      <c r="D33" s="61" t="s">
        <v>44</v>
      </c>
      <c r="E33" s="62" t="s">
        <v>47</v>
      </c>
      <c r="F33" s="63">
        <f>($F$24*$F$23*C33)/3600</f>
        <v>0</v>
      </c>
      <c r="G33" s="64" t="s">
        <v>17</v>
      </c>
      <c r="H33" s="7"/>
    </row>
    <row r="34" spans="1:11" ht="15" customHeight="1" x14ac:dyDescent="0.25">
      <c r="A34" s="2"/>
      <c r="B34" s="59"/>
      <c r="C34" s="65"/>
      <c r="D34" s="66" t="s">
        <v>20</v>
      </c>
      <c r="E34" s="67" t="str">
        <f>IF(F33&gt;$C$20,"SECCIÓN DE CANOA INSUFICIENTE","CANOA ADECUADA")</f>
        <v>CANOA ADECUADA</v>
      </c>
      <c r="F34" s="63"/>
      <c r="G34" s="64"/>
      <c r="H34" s="7"/>
      <c r="I34" s="2"/>
      <c r="J34" s="2"/>
      <c r="K34" s="2"/>
    </row>
    <row r="35" spans="1:11" ht="15" customHeight="1" x14ac:dyDescent="0.25">
      <c r="A35" s="2"/>
      <c r="B35" s="59"/>
      <c r="C35" s="65"/>
      <c r="D35" s="61"/>
      <c r="E35" s="62"/>
      <c r="F35" s="63"/>
      <c r="G35" s="64"/>
      <c r="H35" s="7"/>
      <c r="I35" s="2"/>
      <c r="J35" s="2"/>
      <c r="K35" s="2"/>
    </row>
    <row r="36" spans="1:11" s="2" customFormat="1" ht="15" customHeight="1" x14ac:dyDescent="0.25">
      <c r="B36" s="59" t="str">
        <f>"Área "&amp;C26&amp;" (A+B+C)"</f>
        <v>Área SECCIÓN 01 (A+B+C)</v>
      </c>
      <c r="C36" s="68">
        <f>SUM(C27:C33)</f>
        <v>32</v>
      </c>
      <c r="D36" s="61" t="s">
        <v>44</v>
      </c>
      <c r="E36" s="62" t="s">
        <v>48</v>
      </c>
      <c r="F36" s="69">
        <f>SUM(F27:F33)</f>
        <v>1.7733333333333334</v>
      </c>
      <c r="G36" s="70" t="s">
        <v>17</v>
      </c>
      <c r="H36" s="7"/>
    </row>
    <row r="37" spans="1:11" ht="15" customHeight="1" x14ac:dyDescent="0.25">
      <c r="A37" s="2"/>
      <c r="B37" s="59"/>
      <c r="C37" s="65"/>
      <c r="D37" s="61"/>
      <c r="E37" s="62"/>
      <c r="F37" s="71"/>
      <c r="G37" s="70"/>
      <c r="H37" s="7"/>
      <c r="I37" s="2"/>
      <c r="J37" s="2"/>
      <c r="K37" s="2"/>
    </row>
    <row r="38" spans="1:11" ht="11.25" x14ac:dyDescent="0.25">
      <c r="A38" s="2"/>
      <c r="B38" s="72" t="s">
        <v>22</v>
      </c>
      <c r="C38" s="65"/>
      <c r="D38" s="61"/>
      <c r="E38" s="62"/>
      <c r="F38" s="71"/>
      <c r="G38" s="70"/>
      <c r="H38" s="7"/>
      <c r="I38" s="2"/>
      <c r="J38" s="2"/>
      <c r="K38" s="2"/>
    </row>
    <row r="39" spans="1:11" s="2" customFormat="1" ht="11.25" x14ac:dyDescent="0.25">
      <c r="B39" s="73" t="s">
        <v>50</v>
      </c>
      <c r="C39" s="60">
        <v>2</v>
      </c>
      <c r="D39" s="61"/>
      <c r="E39" s="62" t="str">
        <f>"Caudal máximo en bajante ø"&amp;C40&amp;" mm"</f>
        <v>Caudal máximo en bajante ø50 mm</v>
      </c>
      <c r="F39" s="65">
        <f>IF(C40=50,0.9,IF(C40=63.5,1.65,IF(C40=75,2.5,IF(C40=100,5.1,IF(C40=125,8.95,IF(C40=150,14.1,IF(C40=200,28.95)))))))</f>
        <v>0.9</v>
      </c>
      <c r="G39" s="70" t="s">
        <v>52</v>
      </c>
      <c r="H39" s="7"/>
    </row>
    <row r="40" spans="1:11" s="2" customFormat="1" ht="11.25" x14ac:dyDescent="0.25">
      <c r="B40" s="73" t="s">
        <v>23</v>
      </c>
      <c r="C40" s="74">
        <v>50</v>
      </c>
      <c r="D40" s="74" t="s">
        <v>24</v>
      </c>
      <c r="E40" s="75" t="s">
        <v>51</v>
      </c>
      <c r="F40" s="65">
        <f>IF(C40=50,0.9,IF(C40=63.5,1.65,IF(C40=75,2.5,IF(C40=100,5.1,IF(C40=125,8.95,IF(C40=150,14.1,IF(C40=200,28.95)))))))*C39</f>
        <v>1.8</v>
      </c>
      <c r="G40" s="70" t="s">
        <v>17</v>
      </c>
      <c r="H40" s="7"/>
    </row>
    <row r="41" spans="1:11" ht="11.25" x14ac:dyDescent="0.25">
      <c r="A41" s="2"/>
      <c r="B41" s="73" t="s">
        <v>26</v>
      </c>
      <c r="C41" s="71">
        <f>F36</f>
        <v>1.7733333333333334</v>
      </c>
      <c r="D41" s="74" t="s">
        <v>17</v>
      </c>
      <c r="E41" s="76" t="str">
        <f>IF(F36&gt;$F$40,"BAJANTES INSUFICIENTES","BAJANTES ADECUADOS")</f>
        <v>BAJANTES ADECUADOS</v>
      </c>
      <c r="F41" s="75"/>
      <c r="G41" s="77"/>
      <c r="H41" s="7"/>
      <c r="I41" s="2"/>
      <c r="J41" s="2"/>
      <c r="K41" s="2"/>
    </row>
    <row r="42" spans="1:11" ht="12" thickBot="1" x14ac:dyDescent="0.3">
      <c r="A42" s="2"/>
      <c r="B42" s="78"/>
      <c r="C42" s="79"/>
      <c r="D42" s="80"/>
      <c r="E42" s="81"/>
      <c r="F42" s="82"/>
      <c r="G42" s="83"/>
      <c r="H42" s="7"/>
      <c r="I42" s="2"/>
      <c r="J42" s="2"/>
      <c r="K42" s="2"/>
    </row>
    <row r="43" spans="1:11" ht="12" thickBot="1" x14ac:dyDescent="0.3">
      <c r="A43" s="2"/>
      <c r="B43" s="84"/>
      <c r="C43" s="85"/>
      <c r="D43" s="86"/>
      <c r="E43" s="87"/>
      <c r="F43" s="88"/>
      <c r="G43" s="89"/>
      <c r="H43" s="7"/>
      <c r="I43" s="2"/>
      <c r="J43" s="2"/>
      <c r="K43" s="2"/>
    </row>
    <row r="44" spans="1:11" ht="11.25" x14ac:dyDescent="0.25">
      <c r="A44" s="2"/>
      <c r="B44" s="90"/>
      <c r="C44" s="91"/>
      <c r="D44" s="92"/>
      <c r="E44" s="93"/>
      <c r="F44" s="94"/>
      <c r="G44" s="95"/>
      <c r="H44" s="7"/>
      <c r="I44" s="2"/>
      <c r="J44" s="2"/>
      <c r="K44" s="2"/>
    </row>
    <row r="45" spans="1:11" ht="11.25" x14ac:dyDescent="0.25">
      <c r="A45" s="2"/>
      <c r="B45" s="59" t="s">
        <v>33</v>
      </c>
      <c r="C45" s="65"/>
      <c r="D45" s="61"/>
      <c r="E45" s="75"/>
      <c r="F45" s="75"/>
      <c r="G45" s="77"/>
      <c r="H45" s="7"/>
      <c r="I45" s="2"/>
      <c r="J45" s="2"/>
      <c r="K45" s="2"/>
    </row>
    <row r="46" spans="1:11" ht="11.25" x14ac:dyDescent="0.25">
      <c r="A46" s="2"/>
      <c r="B46" s="59" t="s">
        <v>28</v>
      </c>
      <c r="C46" s="65"/>
      <c r="D46" s="61"/>
      <c r="E46" s="75"/>
      <c r="F46" s="75"/>
      <c r="G46" s="77"/>
      <c r="H46" s="7"/>
      <c r="I46" s="2"/>
      <c r="J46" s="2"/>
      <c r="K46" s="2"/>
    </row>
    <row r="47" spans="1:11" s="2" customFormat="1" ht="11.25" x14ac:dyDescent="0.25">
      <c r="B47" s="96" t="s">
        <v>29</v>
      </c>
      <c r="C47" s="68">
        <f>C36</f>
        <v>32</v>
      </c>
      <c r="D47" s="61" t="s">
        <v>49</v>
      </c>
      <c r="E47" s="75" t="s">
        <v>30</v>
      </c>
      <c r="F47" s="68">
        <f>F36</f>
        <v>1.7733333333333334</v>
      </c>
      <c r="G47" s="70" t="s">
        <v>17</v>
      </c>
      <c r="H47" s="7"/>
    </row>
    <row r="48" spans="1:11" ht="11.25" x14ac:dyDescent="0.25">
      <c r="A48" s="2"/>
      <c r="B48" s="59"/>
      <c r="C48" s="65"/>
      <c r="D48" s="61"/>
      <c r="E48" s="75"/>
      <c r="F48" s="75"/>
      <c r="G48" s="77"/>
      <c r="H48" s="7"/>
      <c r="I48" s="2"/>
      <c r="J48" s="2"/>
      <c r="K48" s="2"/>
    </row>
    <row r="49" spans="1:11" ht="11.25" x14ac:dyDescent="0.25">
      <c r="A49" s="2"/>
      <c r="B49" s="72" t="s">
        <v>22</v>
      </c>
      <c r="C49" s="65"/>
      <c r="D49" s="61"/>
      <c r="E49" s="62"/>
      <c r="F49" s="71"/>
      <c r="G49" s="70"/>
      <c r="H49" s="7"/>
      <c r="I49" s="2"/>
      <c r="J49" s="2"/>
      <c r="K49" s="2"/>
    </row>
    <row r="50" spans="1:11" s="2" customFormat="1" ht="11.25" x14ac:dyDescent="0.25">
      <c r="B50" s="73" t="s">
        <v>23</v>
      </c>
      <c r="C50" s="74">
        <v>100</v>
      </c>
      <c r="D50" s="74" t="s">
        <v>24</v>
      </c>
      <c r="E50" s="75" t="s">
        <v>25</v>
      </c>
      <c r="F50" s="65">
        <f>IF(C50=50,0.9,IF(C50=63.5,1.65,IF(C50=75,2.5,IF(C50=100,5.1,IF(C50=125,8.95,IF(C50=150,14.1,IF(C50=200,28.95)))))))</f>
        <v>5.0999999999999996</v>
      </c>
      <c r="G50" s="70" t="s">
        <v>17</v>
      </c>
      <c r="H50" s="7"/>
    </row>
    <row r="51" spans="1:11" s="2" customFormat="1" ht="11.25" x14ac:dyDescent="0.25">
      <c r="B51" s="73" t="s">
        <v>31</v>
      </c>
      <c r="C51" s="97">
        <f>C39</f>
        <v>2</v>
      </c>
      <c r="D51" s="74" t="s">
        <v>32</v>
      </c>
      <c r="E51" s="98" t="s">
        <v>34</v>
      </c>
      <c r="F51" s="99">
        <f>C51*$F$50</f>
        <v>10.199999999999999</v>
      </c>
      <c r="G51" s="70" t="s">
        <v>17</v>
      </c>
      <c r="H51" s="7"/>
    </row>
    <row r="52" spans="1:11" ht="12" thickBot="1" x14ac:dyDescent="0.3">
      <c r="A52" s="2"/>
      <c r="B52" s="59"/>
      <c r="C52" s="65"/>
      <c r="D52" s="61"/>
      <c r="E52" s="76" t="str">
        <f>IF(F47&gt;C51*$F$50,"BAJANTES INSUFICIENTES","BAJANTES SUFICIENTES")</f>
        <v>BAJANTES SUFICIENTES</v>
      </c>
      <c r="F52" s="75"/>
      <c r="G52" s="77"/>
      <c r="H52" s="7"/>
      <c r="I52" s="2"/>
      <c r="J52" s="2"/>
      <c r="K52" s="2"/>
    </row>
    <row r="53" spans="1:11" ht="12" thickBot="1" x14ac:dyDescent="0.3">
      <c r="A53" s="2"/>
      <c r="B53" s="100"/>
      <c r="C53" s="101"/>
      <c r="D53" s="102"/>
      <c r="E53" s="103"/>
      <c r="F53" s="104"/>
      <c r="G53" s="105"/>
      <c r="I53" s="2"/>
      <c r="J53" s="2"/>
      <c r="K53" s="2"/>
    </row>
  </sheetData>
  <protectedRanges>
    <protectedRange sqref="C12 C14" name="Rango1"/>
    <protectedRange sqref="F44 F42 F27:F35" name="Rango1_2"/>
  </protectedRanges>
  <mergeCells count="1">
    <mergeCell ref="B2:G2"/>
  </mergeCells>
  <conditionalFormatting sqref="E43">
    <cfRule type="cellIs" dxfId="11" priority="45" operator="equal">
      <formula>"BAJANTE INSUFICIENTE"</formula>
    </cfRule>
    <cfRule type="cellIs" dxfId="10" priority="46" operator="equal">
      <formula>"BAJANTE ADECUADO"</formula>
    </cfRule>
  </conditionalFormatting>
  <conditionalFormatting sqref="E52">
    <cfRule type="cellIs" dxfId="9" priority="43" operator="equal">
      <formula>"BAJANTES INSUFICIENTES"</formula>
    </cfRule>
    <cfRule type="cellIs" dxfId="8" priority="44" operator="equal">
      <formula>"BAJANTES SUFICIENTES"</formula>
    </cfRule>
  </conditionalFormatting>
  <conditionalFormatting sqref="E28">
    <cfRule type="cellIs" dxfId="7" priority="8" operator="equal">
      <formula>"CANOA ADECUADA"</formula>
    </cfRule>
    <cfRule type="cellIs" dxfId="6" priority="10" operator="equal">
      <formula>"SECCIÓN DE CANOA INSUFICIENTE"</formula>
    </cfRule>
  </conditionalFormatting>
  <conditionalFormatting sqref="E31">
    <cfRule type="cellIs" dxfId="5" priority="7" operator="equal">
      <formula>"CANOA ADECUADA"</formula>
    </cfRule>
    <cfRule type="cellIs" dxfId="4" priority="9" operator="equal">
      <formula>"SECCIÓN DE CANOA INSUFICIENTE"</formula>
    </cfRule>
  </conditionalFormatting>
  <conditionalFormatting sqref="E34">
    <cfRule type="cellIs" dxfId="3" priority="3" operator="equal">
      <formula>"CANOA ADECUADA"</formula>
    </cfRule>
    <cfRule type="cellIs" dxfId="2" priority="4" operator="equal">
      <formula>"SECCIÓN DE CANOA INSUFICIENTE"</formula>
    </cfRule>
  </conditionalFormatting>
  <conditionalFormatting sqref="E41">
    <cfRule type="cellIs" dxfId="1" priority="1" operator="equal">
      <formula>"BAJANTES INSUFICIENTES"</formula>
    </cfRule>
    <cfRule type="cellIs" dxfId="0" priority="2" operator="equal">
      <formula>"BAJANTES ADECUADOS"</formula>
    </cfRule>
  </conditionalFormatting>
  <dataValidations count="1">
    <dataValidation type="list" allowBlank="1" showInputMessage="1" showErrorMessage="1" sqref="C40" xr:uid="{BCF29288-76E7-450E-A777-58138F04AD7A}">
      <formula1>"50,63.5,75,100,125,150,200"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Guillermo Araya Segura</dc:creator>
  <cp:lastModifiedBy>Adrian Quesada Martinez</cp:lastModifiedBy>
  <dcterms:created xsi:type="dcterms:W3CDTF">2017-09-18T20:38:40Z</dcterms:created>
  <dcterms:modified xsi:type="dcterms:W3CDTF">2023-03-08T20:27:31Z</dcterms:modified>
</cp:coreProperties>
</file>