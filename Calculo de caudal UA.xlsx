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qm81\Dropbox\Universidades\Veritas\Cursos\Instlaciones en los Edificios I\Lecciones\Lección 3\"/>
    </mc:Choice>
  </mc:AlternateContent>
  <xr:revisionPtr revIDLastSave="0" documentId="13_ncr:1_{D1C54EFE-AAC3-4D53-8B8F-4FEA77E9CB9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Caudal de Diseño" sheetId="1" r:id="rId1"/>
    <sheet name="Piezas Sanitarias" sheetId="3" r:id="rId2"/>
    <sheet name="Memoria de Cálcul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7" i="1"/>
  <c r="D8" i="1"/>
  <c r="I8" i="1" s="1"/>
  <c r="D9" i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7" i="1"/>
  <c r="I14" i="1"/>
  <c r="J14" i="1" s="1"/>
  <c r="I15" i="1"/>
  <c r="J15" i="1" s="1"/>
  <c r="I13" i="1" l="1"/>
  <c r="J13" i="1" s="1"/>
  <c r="I12" i="1"/>
  <c r="J12" i="1" s="1"/>
  <c r="I11" i="1"/>
  <c r="J11" i="1" s="1"/>
  <c r="I10" i="1"/>
  <c r="J10" i="1" s="1"/>
  <c r="F9" i="1"/>
  <c r="J8" i="1"/>
  <c r="F7" i="1"/>
  <c r="F8" i="1"/>
  <c r="H8" i="1"/>
  <c r="H16" i="1"/>
  <c r="H15" i="1"/>
  <c r="H14" i="1"/>
  <c r="H13" i="1"/>
  <c r="H12" i="1"/>
  <c r="H11" i="1"/>
  <c r="H10" i="1"/>
  <c r="H9" i="1"/>
  <c r="I16" i="1"/>
  <c r="J16" i="1" s="1"/>
  <c r="I9" i="1"/>
  <c r="J9" i="1" s="1"/>
  <c r="H7" i="1"/>
  <c r="I7" i="1"/>
  <c r="J7" i="1" s="1"/>
  <c r="H17" i="1" l="1"/>
  <c r="J17" i="1"/>
  <c r="F17" i="1"/>
  <c r="F19" i="1" l="1"/>
  <c r="F18" i="1"/>
  <c r="J19" i="1"/>
  <c r="J18" i="1"/>
  <c r="H19" i="1"/>
  <c r="H18" i="1"/>
  <c r="D15" i="2"/>
  <c r="K15" i="2" s="1"/>
  <c r="D14" i="2"/>
  <c r="K14" i="2" s="1"/>
  <c r="D10" i="2"/>
  <c r="K10" i="2" s="1"/>
  <c r="D16" i="2"/>
  <c r="F16" i="2" s="1"/>
  <c r="D13" i="2"/>
  <c r="K13" i="2" s="1"/>
  <c r="D9" i="2"/>
  <c r="K9" i="2" s="1"/>
  <c r="D18" i="2"/>
  <c r="F18" i="2" s="1"/>
  <c r="D17" i="2"/>
  <c r="K17" i="2" s="1"/>
  <c r="D12" i="2"/>
  <c r="F12" i="2" s="1"/>
  <c r="D11" i="2"/>
  <c r="F11" i="2" s="1"/>
  <c r="D7" i="2"/>
  <c r="K7" i="2" s="1"/>
  <c r="D8" i="2"/>
  <c r="K8" i="2" s="1"/>
  <c r="F9" i="2" l="1"/>
  <c r="F17" i="2"/>
  <c r="F8" i="2"/>
  <c r="K18" i="2"/>
  <c r="F10" i="2"/>
  <c r="F14" i="2"/>
  <c r="F13" i="2"/>
  <c r="K16" i="2"/>
  <c r="F15" i="2"/>
  <c r="K11" i="2"/>
  <c r="F7" i="2"/>
  <c r="K12" i="2"/>
</calcChain>
</file>

<file path=xl/sharedStrings.xml><?xml version="1.0" encoding="utf-8"?>
<sst xmlns="http://schemas.openxmlformats.org/spreadsheetml/2006/main" count="127" uniqueCount="83">
  <si>
    <t>Pieza</t>
  </si>
  <si>
    <t>TOTAL</t>
  </si>
  <si>
    <t>Caudal probable</t>
  </si>
  <si>
    <t>TRAMO</t>
  </si>
  <si>
    <t>Longitud</t>
  </si>
  <si>
    <t>Caudal</t>
  </si>
  <si>
    <t>Velocidad</t>
  </si>
  <si>
    <t>Diam</t>
  </si>
  <si>
    <t>SDR</t>
  </si>
  <si>
    <t>Tramos</t>
  </si>
  <si>
    <t>Ruta</t>
  </si>
  <si>
    <t>inter</t>
  </si>
  <si>
    <t>selec</t>
  </si>
  <si>
    <t>nominal</t>
  </si>
  <si>
    <t>C</t>
  </si>
  <si>
    <t>Críticos</t>
  </si>
  <si>
    <t>Crítica</t>
  </si>
  <si>
    <t>(m)</t>
  </si>
  <si>
    <t>(m/s)</t>
  </si>
  <si>
    <t>(mm)</t>
  </si>
  <si>
    <t>(pulg)</t>
  </si>
  <si>
    <t>(mca)</t>
  </si>
  <si>
    <t>A-B</t>
  </si>
  <si>
    <t>B-C</t>
  </si>
  <si>
    <t>C-D</t>
  </si>
  <si>
    <t>Altura</t>
  </si>
  <si>
    <t>D-E</t>
  </si>
  <si>
    <t>E-F</t>
  </si>
  <si>
    <t>F-G</t>
  </si>
  <si>
    <t>E-H</t>
  </si>
  <si>
    <t>H-I</t>
  </si>
  <si>
    <t>H-J</t>
  </si>
  <si>
    <t>J-K</t>
  </si>
  <si>
    <t>K-L</t>
  </si>
  <si>
    <t>M-N</t>
  </si>
  <si>
    <r>
      <t>(m</t>
    </r>
    <r>
      <rPr>
        <vertAlign val="superscript"/>
        <sz val="11"/>
        <color indexed="8"/>
        <rFont val="Arial"/>
        <family val="2"/>
      </rPr>
      <t>3</t>
    </r>
    <r>
      <rPr>
        <sz val="11"/>
        <color indexed="8"/>
        <rFont val="Arial"/>
        <family val="2"/>
      </rPr>
      <t>/s)</t>
    </r>
  </si>
  <si>
    <t>l/s</t>
  </si>
  <si>
    <t>gpm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</si>
  <si>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</si>
  <si>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t>CALCULO DE CAUDAL DE DISEÑO DE AGUA POTABLE FRÍA Y CALIENTE</t>
  </si>
  <si>
    <t xml:space="preserve">Caída </t>
  </si>
  <si>
    <t>Presión</t>
  </si>
  <si>
    <t>tubería</t>
  </si>
  <si>
    <t>mínima</t>
  </si>
  <si>
    <t>geométrica</t>
  </si>
  <si>
    <t>Accesorio</t>
  </si>
  <si>
    <t>Diámetro mínimo (mm)</t>
  </si>
  <si>
    <t>Presión mínima (mca)</t>
  </si>
  <si>
    <t>Unidades de accesorio (Uso privado)</t>
  </si>
  <si>
    <t>Unidades de accesorio (Uso público)</t>
  </si>
  <si>
    <t>Tina de baño</t>
  </si>
  <si>
    <t>Bidé</t>
  </si>
  <si>
    <t>Ducha</t>
  </si>
  <si>
    <t>Fregadero doméstico</t>
  </si>
  <si>
    <t>Fregadero comercial</t>
  </si>
  <si>
    <t>Fregadero clínicas</t>
  </si>
  <si>
    <t>Inodoro con tanque</t>
  </si>
  <si>
    <t>Inodoro con fluxómetro</t>
  </si>
  <si>
    <t>7 a 14</t>
  </si>
  <si>
    <t>Fuente para beber</t>
  </si>
  <si>
    <t>2,5</t>
  </si>
  <si>
    <t>Lavatorio</t>
  </si>
  <si>
    <t>Lavadora</t>
  </si>
  <si>
    <t>3,5</t>
  </si>
  <si>
    <t>Llave para riego (jardín)</t>
  </si>
  <si>
    <t>Mingitorios con tanque</t>
  </si>
  <si>
    <t>Mingitorios con fluxómetro</t>
  </si>
  <si>
    <t>5 a 10</t>
  </si>
  <si>
    <t>Lavaplatos doméstico</t>
  </si>
  <si>
    <t>Pileta de lavar</t>
  </si>
  <si>
    <t>Unidades accesorio por pieza</t>
  </si>
  <si>
    <t>Unidades accesorio Total</t>
  </si>
  <si>
    <t>Cantidad de piezas</t>
  </si>
  <si>
    <t>Tipo de uso</t>
  </si>
  <si>
    <t>Privado</t>
  </si>
  <si>
    <t>Predominan</t>
  </si>
  <si>
    <t>Tipo de agua</t>
  </si>
  <si>
    <t>Fría y Caliente</t>
  </si>
  <si>
    <t>Unidades accesorio Agua Fría Total</t>
  </si>
  <si>
    <t>Unidades accesorio Agua Caliente Total</t>
  </si>
  <si>
    <t>Tanques</t>
  </si>
  <si>
    <t>Fría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</si>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</sst>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General_)"/>
    <numFmt numFmtId="165" formatCode="0.0"/>
    <numFmt numFmtId="166" formatCode="0_)"/>
    <numFmt numFmtId="167" formatCode="0.0_)"/>
    <numFmt numFmtId="168" formatCode="0.00_)"/>
    <numFmt numFmtId="169" formatCode="0.000E+00"/>
    <numFmt numFmtId="170" formatCode="0.000_)"/>
    <numFmt numFmtId="178" formatCode="0.00000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ymbol"/>
      <family val="1"/>
      <charset val="2"/>
    </font>
    <font>
      <sz val="11"/>
      <color theme="1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2"/>
      <color indexed="8"/>
      <name val="Courier"/>
      <family val="3"/>
    </font>
    <font>
      <vertAlign val="superscript"/>
      <sz val="11"/>
      <color indexed="8"/>
      <name val="Arial"/>
      <family val="2"/>
    </font>
    <font>
      <b/>
      <u/>
      <sz val="11"/>
      <color indexed="8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8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4" fontId="8" fillId="0" borderId="1" xfId="0" applyNumberFormat="1" applyFont="1" applyBorder="1"/>
    <xf numFmtId="166" fontId="8" fillId="0" borderId="1" xfId="0" applyNumberFormat="1" applyFont="1" applyBorder="1"/>
    <xf numFmtId="167" fontId="8" fillId="0" borderId="1" xfId="0" applyNumberFormat="1" applyFont="1" applyBorder="1"/>
    <xf numFmtId="168" fontId="8" fillId="0" borderId="6" xfId="0" applyNumberFormat="1" applyFont="1" applyBorder="1"/>
    <xf numFmtId="168" fontId="8" fillId="0" borderId="1" xfId="0" applyNumberFormat="1" applyFont="1" applyBorder="1"/>
    <xf numFmtId="2" fontId="8" fillId="0" borderId="1" xfId="0" applyNumberFormat="1" applyFont="1" applyBorder="1"/>
    <xf numFmtId="2" fontId="8" fillId="0" borderId="6" xfId="0" applyNumberFormat="1" applyFont="1" applyBorder="1"/>
    <xf numFmtId="164" fontId="8" fillId="0" borderId="13" xfId="0" applyNumberFormat="1" applyFont="1" applyBorder="1"/>
    <xf numFmtId="167" fontId="8" fillId="0" borderId="6" xfId="0" applyNumberFormat="1" applyFont="1" applyBorder="1"/>
    <xf numFmtId="164" fontId="7" fillId="0" borderId="3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9" fontId="7" fillId="0" borderId="3" xfId="0" applyNumberFormat="1" applyFont="1" applyBorder="1" applyAlignment="1">
      <alignment horizontal="center" vertical="center"/>
    </xf>
    <xf numFmtId="167" fontId="7" fillId="0" borderId="15" xfId="0" applyNumberFormat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168" fontId="7" fillId="0" borderId="4" xfId="0" applyNumberFormat="1" applyFont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70" fontId="7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9" fontId="7" fillId="0" borderId="6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168" fontId="7" fillId="0" borderId="7" xfId="0" applyNumberFormat="1" applyFont="1" applyBorder="1" applyAlignment="1">
      <alignment horizontal="center" vertical="center"/>
    </xf>
    <xf numFmtId="168" fontId="7" fillId="0" borderId="6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/>
    </xf>
    <xf numFmtId="170" fontId="7" fillId="0" borderId="6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167" fontId="7" fillId="0" borderId="16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center"/>
    </xf>
    <xf numFmtId="167" fontId="7" fillId="0" borderId="8" xfId="0" applyNumberFormat="1" applyFont="1" applyBorder="1" applyAlignment="1">
      <alignment horizontal="center" vertical="center"/>
    </xf>
    <xf numFmtId="166" fontId="8" fillId="0" borderId="6" xfId="0" applyNumberFormat="1" applyFont="1" applyBorder="1"/>
    <xf numFmtId="166" fontId="7" fillId="0" borderId="1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3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164" fontId="5" fillId="0" borderId="17" xfId="0" applyNumberFormat="1" applyFont="1" applyBorder="1" applyAlignment="1">
      <alignment horizontal="center" vertical="center" wrapText="1"/>
    </xf>
    <xf numFmtId="164" fontId="3" fillId="0" borderId="18" xfId="0" applyNumberFormat="1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 wrapText="1"/>
    </xf>
    <xf numFmtId="13" fontId="3" fillId="4" borderId="0" xfId="0" applyNumberFormat="1" applyFont="1" applyFill="1" applyAlignment="1">
      <alignment horizontal="center" vertical="center"/>
    </xf>
    <xf numFmtId="164" fontId="3" fillId="4" borderId="10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164" fontId="3" fillId="4" borderId="12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64" fontId="3" fillId="4" borderId="19" xfId="0" applyNumberFormat="1" applyFont="1" applyFill="1" applyBorder="1" applyAlignment="1">
      <alignment horizontal="center" vertical="center"/>
    </xf>
    <xf numFmtId="164" fontId="7" fillId="4" borderId="19" xfId="0" applyNumberFormat="1" applyFont="1" applyFill="1" applyBorder="1" applyAlignment="1">
      <alignment horizontal="center" vertical="center"/>
    </xf>
    <xf numFmtId="164" fontId="3" fillId="4" borderId="20" xfId="0" applyNumberFormat="1" applyFont="1" applyFill="1" applyBorder="1" applyAlignment="1">
      <alignment horizontal="center" vertical="center"/>
    </xf>
    <xf numFmtId="164" fontId="3" fillId="4" borderId="21" xfId="0" applyNumberFormat="1" applyFont="1" applyFill="1" applyBorder="1" applyAlignment="1">
      <alignment horizontal="center" vertical="center"/>
    </xf>
    <xf numFmtId="164" fontId="3" fillId="4" borderId="22" xfId="0" applyNumberFormat="1" applyFont="1" applyFill="1" applyBorder="1" applyAlignment="1">
      <alignment horizontal="center" vertical="center"/>
    </xf>
    <xf numFmtId="164" fontId="3" fillId="4" borderId="23" xfId="0" applyNumberFormat="1" applyFont="1" applyFill="1" applyBorder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78" fontId="5" fillId="6" borderId="0" xfId="1" applyNumberFormat="1" applyFont="1" applyFill="1" applyBorder="1" applyAlignment="1">
      <alignment horizontal="center" vertical="center"/>
    </xf>
    <xf numFmtId="164" fontId="5" fillId="7" borderId="10" xfId="0" applyNumberFormat="1" applyFont="1" applyFill="1" applyBorder="1" applyAlignment="1">
      <alignment horizontal="center" vertical="center" wrapText="1"/>
    </xf>
    <xf numFmtId="164" fontId="5" fillId="7" borderId="17" xfId="0" applyNumberFormat="1" applyFont="1" applyFill="1" applyBorder="1" applyAlignment="1">
      <alignment horizontal="center" vertical="center" wrapText="1"/>
    </xf>
    <xf numFmtId="164" fontId="3" fillId="7" borderId="10" xfId="0" applyNumberFormat="1" applyFont="1" applyFill="1" applyBorder="1" applyAlignment="1">
      <alignment horizontal="center" vertical="center"/>
    </xf>
    <xf numFmtId="164" fontId="3" fillId="7" borderId="24" xfId="0" applyNumberFormat="1" applyFont="1" applyFill="1" applyBorder="1" applyAlignment="1">
      <alignment horizontal="center" vertical="center"/>
    </xf>
    <xf numFmtId="164" fontId="3" fillId="7" borderId="11" xfId="0" applyNumberFormat="1" applyFont="1" applyFill="1" applyBorder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164" fontId="3" fillId="7" borderId="12" xfId="0" applyNumberFormat="1" applyFont="1" applyFill="1" applyBorder="1" applyAlignment="1">
      <alignment horizontal="center" vertical="center"/>
    </xf>
    <xf numFmtId="164" fontId="6" fillId="7" borderId="25" xfId="0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 wrapText="1"/>
    </xf>
    <xf numFmtId="164" fontId="5" fillId="2" borderId="17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6" fillId="2" borderId="22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6" fillId="2" borderId="23" xfId="0" applyNumberFormat="1" applyFont="1" applyFill="1" applyBorder="1" applyAlignment="1">
      <alignment horizontal="center" vertical="center"/>
    </xf>
    <xf numFmtId="178" fontId="5" fillId="8" borderId="0" xfId="1" applyNumberFormat="1" applyFont="1" applyFill="1" applyBorder="1" applyAlignment="1">
      <alignment horizontal="center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9"/>
  <sheetViews>
    <sheetView tabSelected="1" zoomScaleNormal="100" workbookViewId="0">
      <selection activeCell="B3" sqref="B3"/>
    </sheetView>
  </sheetViews>
  <sheetFormatPr baseColWidth="10" defaultColWidth="11.453125" defaultRowHeight="14.5" x14ac:dyDescent="0.35"/>
  <cols>
    <col min="1" max="1" width="11.453125" style="54"/>
    <col min="2" max="2" width="24.26953125" style="54" bestFit="1" customWidth="1"/>
    <col min="3" max="3" width="21.36328125" style="54" bestFit="1" customWidth="1"/>
    <col min="4" max="4" width="22.1796875" style="54" bestFit="1" customWidth="1"/>
    <col min="5" max="5" width="22.1796875" style="54" customWidth="1"/>
    <col min="6" max="7" width="22.1796875" style="54" bestFit="1" customWidth="1"/>
    <col min="8" max="8" width="29.7265625" style="54" bestFit="1" customWidth="1"/>
    <col min="9" max="9" width="26.453125" style="54" bestFit="1" customWidth="1"/>
    <col min="10" max="10" width="36.1796875" style="54" bestFit="1" customWidth="1"/>
    <col min="11" max="16384" width="11.453125" style="54"/>
  </cols>
  <sheetData>
    <row r="2" spans="2:10" ht="15.5" x14ac:dyDescent="0.35">
      <c r="B2" s="77" t="s">
        <v>39</v>
      </c>
      <c r="C2" s="77"/>
      <c r="D2" s="77"/>
      <c r="E2" s="77"/>
      <c r="F2" s="77"/>
      <c r="G2" s="77"/>
      <c r="H2" s="77"/>
      <c r="I2" s="77"/>
      <c r="J2" s="77"/>
    </row>
    <row r="3" spans="2:10" x14ac:dyDescent="0.35">
      <c r="B3" s="1" t="s">
        <v>75</v>
      </c>
      <c r="C3" s="73" t="s">
        <v>80</v>
      </c>
      <c r="D3" s="57"/>
      <c r="E3" s="57"/>
      <c r="F3" s="57"/>
      <c r="G3" s="57"/>
      <c r="H3" s="57"/>
      <c r="I3" s="57"/>
      <c r="J3" s="57"/>
    </row>
    <row r="4" spans="2:10" x14ac:dyDescent="0.35">
      <c r="B4" s="1" t="s">
        <v>73</v>
      </c>
      <c r="C4" s="73" t="s">
        <v>74</v>
      </c>
      <c r="D4" s="57"/>
      <c r="E4" s="57"/>
      <c r="F4" s="57"/>
      <c r="G4" s="57"/>
      <c r="H4" s="57"/>
      <c r="I4" s="57"/>
      <c r="J4" s="57"/>
    </row>
    <row r="5" spans="2:10" ht="16" thickBot="1" x14ac:dyDescent="0.4">
      <c r="B5" s="55"/>
      <c r="C5" s="56"/>
      <c r="D5" s="57"/>
      <c r="E5" s="57"/>
      <c r="F5" s="57"/>
      <c r="G5" s="57"/>
      <c r="H5" s="57"/>
      <c r="I5" s="57"/>
      <c r="J5" s="57"/>
    </row>
    <row r="6" spans="2:10" ht="31.5" thickBot="1" x14ac:dyDescent="0.4">
      <c r="B6" s="58" t="s">
        <v>0</v>
      </c>
      <c r="C6" s="58" t="s">
        <v>72</v>
      </c>
      <c r="D6" s="72" t="s">
        <v>70</v>
      </c>
      <c r="E6" s="72" t="s">
        <v>76</v>
      </c>
      <c r="F6" s="68" t="s">
        <v>71</v>
      </c>
      <c r="G6" s="91" t="s">
        <v>70</v>
      </c>
      <c r="H6" s="92" t="s">
        <v>78</v>
      </c>
      <c r="I6" s="99" t="s">
        <v>70</v>
      </c>
      <c r="J6" s="100" t="s">
        <v>79</v>
      </c>
    </row>
    <row r="7" spans="2:10" x14ac:dyDescent="0.35">
      <c r="B7" s="74" t="s">
        <v>61</v>
      </c>
      <c r="C7" s="82">
        <v>10</v>
      </c>
      <c r="D7" s="51">
        <f>IF(IF($C$4="Privado",1,0)=1,VLOOKUP(B7,'Piezas Sanitarias'!$B$4:$F$20,4,FALSE),VLOOKUP(B7,'Piezas Sanitarias'!$B$4:$F$20,5,FALSE))</f>
        <v>1</v>
      </c>
      <c r="E7" s="86" t="s">
        <v>77</v>
      </c>
      <c r="F7" s="69">
        <f>C7*D7</f>
        <v>10</v>
      </c>
      <c r="G7" s="93">
        <f>IF(E7="Fría",D7,D7*3/4)</f>
        <v>0.75</v>
      </c>
      <c r="H7" s="94">
        <f>C7*G7</f>
        <v>7.5</v>
      </c>
      <c r="I7" s="101">
        <f>IF(E7="Fría",0,D7*3/4)</f>
        <v>0.75</v>
      </c>
      <c r="J7" s="102">
        <f>C7*I7</f>
        <v>7.5</v>
      </c>
    </row>
    <row r="8" spans="2:10" x14ac:dyDescent="0.35">
      <c r="B8" s="75" t="s">
        <v>52</v>
      </c>
      <c r="C8" s="83">
        <v>6</v>
      </c>
      <c r="D8" s="52">
        <f>IF(IF($C$4="Privado",1,0)=1,VLOOKUP(B8,'Piezas Sanitarias'!$B$4:$F$20,4,FALSE),VLOOKUP(B8,'Piezas Sanitarias'!$B$4:$F$20,5,FALSE))</f>
        <v>2</v>
      </c>
      <c r="E8" s="87" t="s">
        <v>77</v>
      </c>
      <c r="F8" s="70">
        <f>C8*D8</f>
        <v>12</v>
      </c>
      <c r="G8" s="95">
        <f t="shared" ref="G8:G16" si="0">IF(E8="Fría",D8,D8*3/4)</f>
        <v>1.5</v>
      </c>
      <c r="H8" s="96">
        <f>C8*G8</f>
        <v>9</v>
      </c>
      <c r="I8" s="103">
        <f t="shared" ref="I8:I16" si="1">IF(E8="Fría",0,D8*3/4)</f>
        <v>1.5</v>
      </c>
      <c r="J8" s="104">
        <f>C8*I8</f>
        <v>9</v>
      </c>
    </row>
    <row r="9" spans="2:10" x14ac:dyDescent="0.35">
      <c r="B9" s="75" t="s">
        <v>50</v>
      </c>
      <c r="C9" s="83">
        <v>4</v>
      </c>
      <c r="D9" s="52">
        <f>IF(IF($C$4="Privado",1,0)=1,VLOOKUP(B9,'Piezas Sanitarias'!$B$4:$F$20,4,FALSE),VLOOKUP(B9,'Piezas Sanitarias'!$B$4:$F$20,5,FALSE))</f>
        <v>2</v>
      </c>
      <c r="E9" s="87" t="s">
        <v>77</v>
      </c>
      <c r="F9" s="70">
        <f t="shared" ref="F9:F16" si="2">C9*D9</f>
        <v>8</v>
      </c>
      <c r="G9" s="95">
        <f t="shared" si="0"/>
        <v>1.5</v>
      </c>
      <c r="H9" s="96">
        <f t="shared" ref="H9:H15" si="3">C9*G9</f>
        <v>6</v>
      </c>
      <c r="I9" s="103">
        <f t="shared" si="1"/>
        <v>1.5</v>
      </c>
      <c r="J9" s="104">
        <f>C9*I9</f>
        <v>6</v>
      </c>
    </row>
    <row r="10" spans="2:10" x14ac:dyDescent="0.35">
      <c r="B10" s="75" t="s">
        <v>56</v>
      </c>
      <c r="C10" s="83">
        <v>10</v>
      </c>
      <c r="D10" s="52">
        <f>IF(IF($C$4="Privado",1,0)=1,VLOOKUP(B10,'Piezas Sanitarias'!$B$4:$F$20,4,FALSE),VLOOKUP(B10,'Piezas Sanitarias'!$B$4:$F$20,5,FALSE))</f>
        <v>3</v>
      </c>
      <c r="E10" s="87" t="s">
        <v>81</v>
      </c>
      <c r="F10" s="70">
        <f t="shared" si="2"/>
        <v>30</v>
      </c>
      <c r="G10" s="95">
        <f t="shared" si="0"/>
        <v>3</v>
      </c>
      <c r="H10" s="96">
        <f t="shared" si="3"/>
        <v>30</v>
      </c>
      <c r="I10" s="103">
        <f t="shared" si="1"/>
        <v>0</v>
      </c>
      <c r="J10" s="104">
        <f t="shared" ref="J10:J13" si="4">C10*I10</f>
        <v>0</v>
      </c>
    </row>
    <row r="11" spans="2:10" x14ac:dyDescent="0.35">
      <c r="B11" s="75" t="s">
        <v>53</v>
      </c>
      <c r="C11" s="83">
        <v>6</v>
      </c>
      <c r="D11" s="52">
        <f>IF(IF($C$4="Privado",1,0)=1,VLOOKUP(B11,'Piezas Sanitarias'!$B$4:$F$20,4,FALSE),VLOOKUP(B11,'Piezas Sanitarias'!$B$4:$F$20,5,FALSE))</f>
        <v>2</v>
      </c>
      <c r="E11" s="87" t="s">
        <v>77</v>
      </c>
      <c r="F11" s="70">
        <f t="shared" si="2"/>
        <v>12</v>
      </c>
      <c r="G11" s="95">
        <f t="shared" si="0"/>
        <v>1.5</v>
      </c>
      <c r="H11" s="96">
        <f t="shared" si="3"/>
        <v>9</v>
      </c>
      <c r="I11" s="103">
        <f t="shared" si="1"/>
        <v>1.5</v>
      </c>
      <c r="J11" s="104">
        <f t="shared" si="4"/>
        <v>9</v>
      </c>
    </row>
    <row r="12" spans="2:10" x14ac:dyDescent="0.35">
      <c r="B12" s="75" t="s">
        <v>68</v>
      </c>
      <c r="C12" s="83">
        <v>6</v>
      </c>
      <c r="D12" s="52">
        <f>IF(IF($C$4="Privado",1,0)=1,VLOOKUP(B12,'Piezas Sanitarias'!$B$4:$F$20,4,FALSE),VLOOKUP(B12,'Piezas Sanitarias'!$B$4:$F$20,5,FALSE))</f>
        <v>1.5</v>
      </c>
      <c r="E12" s="87" t="s">
        <v>77</v>
      </c>
      <c r="F12" s="70">
        <f t="shared" si="2"/>
        <v>9</v>
      </c>
      <c r="G12" s="95">
        <f t="shared" si="0"/>
        <v>1.125</v>
      </c>
      <c r="H12" s="96">
        <f t="shared" si="3"/>
        <v>6.75</v>
      </c>
      <c r="I12" s="103">
        <f t="shared" si="1"/>
        <v>1.125</v>
      </c>
      <c r="J12" s="104">
        <f t="shared" si="4"/>
        <v>6.75</v>
      </c>
    </row>
    <row r="13" spans="2:10" x14ac:dyDescent="0.35">
      <c r="B13" s="75" t="s">
        <v>62</v>
      </c>
      <c r="C13" s="83">
        <v>6</v>
      </c>
      <c r="D13" s="52">
        <f>IF(IF($C$4="Privado",1,0)=1,VLOOKUP(B13,'Piezas Sanitarias'!$B$4:$F$20,4,FALSE),VLOOKUP(B13,'Piezas Sanitarias'!$B$4:$F$20,5,FALSE))</f>
        <v>4</v>
      </c>
      <c r="E13" s="87" t="s">
        <v>77</v>
      </c>
      <c r="F13" s="70">
        <f t="shared" si="2"/>
        <v>24</v>
      </c>
      <c r="G13" s="95">
        <f t="shared" si="0"/>
        <v>3</v>
      </c>
      <c r="H13" s="96">
        <f t="shared" si="3"/>
        <v>18</v>
      </c>
      <c r="I13" s="103">
        <f t="shared" si="1"/>
        <v>3</v>
      </c>
      <c r="J13" s="104">
        <f t="shared" si="4"/>
        <v>18</v>
      </c>
    </row>
    <row r="14" spans="2:10" x14ac:dyDescent="0.35">
      <c r="B14" s="75" t="s">
        <v>82</v>
      </c>
      <c r="C14" s="84"/>
      <c r="D14" s="52">
        <f>IF(IF($C$4="Privado",1,0)=1,VLOOKUP(B14,'Piezas Sanitarias'!$B$4:$F$20,4,FALSE),VLOOKUP(B14,'Piezas Sanitarias'!$B$4:$F$20,5,FALSE))</f>
        <v>0</v>
      </c>
      <c r="E14" s="87" t="s">
        <v>81</v>
      </c>
      <c r="F14" s="70">
        <f t="shared" si="2"/>
        <v>0</v>
      </c>
      <c r="G14" s="95">
        <f t="shared" si="0"/>
        <v>0</v>
      </c>
      <c r="H14" s="96">
        <f t="shared" si="3"/>
        <v>0</v>
      </c>
      <c r="I14" s="103">
        <f t="shared" si="1"/>
        <v>0</v>
      </c>
      <c r="J14" s="104">
        <f>C14*I14</f>
        <v>0</v>
      </c>
    </row>
    <row r="15" spans="2:10" x14ac:dyDescent="0.35">
      <c r="B15" s="75" t="s">
        <v>82</v>
      </c>
      <c r="C15" s="84"/>
      <c r="D15" s="52">
        <f>IF(IF($C$4="Privado",1,0)=1,VLOOKUP(B15,'Piezas Sanitarias'!$B$4:$F$20,4,FALSE),VLOOKUP(B15,'Piezas Sanitarias'!$B$4:$F$20,5,FALSE))</f>
        <v>0</v>
      </c>
      <c r="E15" s="87" t="s">
        <v>81</v>
      </c>
      <c r="F15" s="70">
        <f t="shared" si="2"/>
        <v>0</v>
      </c>
      <c r="G15" s="95">
        <f t="shared" si="0"/>
        <v>0</v>
      </c>
      <c r="H15" s="96">
        <f t="shared" si="3"/>
        <v>0</v>
      </c>
      <c r="I15" s="103">
        <f t="shared" si="1"/>
        <v>0</v>
      </c>
      <c r="J15" s="104">
        <f>C15*I15</f>
        <v>0</v>
      </c>
    </row>
    <row r="16" spans="2:10" ht="15" thickBot="1" x14ac:dyDescent="0.4">
      <c r="B16" s="76" t="s">
        <v>82</v>
      </c>
      <c r="C16" s="85"/>
      <c r="D16" s="53">
        <f>IF(IF($C$4="Privado",1,0)=1,VLOOKUP(B16,'Piezas Sanitarias'!$B$4:$F$20,4,FALSE),VLOOKUP(B16,'Piezas Sanitarias'!$B$4:$F$20,5,FALSE))</f>
        <v>0</v>
      </c>
      <c r="E16" s="88" t="s">
        <v>81</v>
      </c>
      <c r="F16" s="71">
        <f t="shared" si="2"/>
        <v>0</v>
      </c>
      <c r="G16" s="97">
        <f t="shared" si="0"/>
        <v>0</v>
      </c>
      <c r="H16" s="98">
        <f>C16*G16</f>
        <v>0</v>
      </c>
      <c r="I16" s="105">
        <f t="shared" si="1"/>
        <v>0</v>
      </c>
      <c r="J16" s="106">
        <f>C16*I16</f>
        <v>0</v>
      </c>
    </row>
    <row r="17" spans="2:11" ht="15.5" x14ac:dyDescent="0.35">
      <c r="B17" s="1"/>
      <c r="C17" s="59"/>
      <c r="D17" s="60" t="s">
        <v>1</v>
      </c>
      <c r="E17" s="60"/>
      <c r="F17" s="89">
        <f>SUM(F7:F16)</f>
        <v>105</v>
      </c>
      <c r="G17" s="61"/>
      <c r="H17" s="89">
        <f>SUM(H7:H16)</f>
        <v>86.25</v>
      </c>
      <c r="I17" s="61"/>
      <c r="J17" s="89">
        <f>SUM(J7:J16)</f>
        <v>56.25</v>
      </c>
      <c r="K17" s="61" t="s">
        <v>36</v>
      </c>
    </row>
    <row r="18" spans="2:11" ht="16.5" x14ac:dyDescent="0.35">
      <c r="B18" s="1"/>
      <c r="C18" s="1"/>
      <c r="D18" s="1" t="s">
        <v>2</v>
      </c>
      <c r="E18" s="1"/>
      <c r="F18" s="90">
        <f>(IFERROR(
IF($C$3="Tanques",
   IF(F17&lt;100,
      0.13*POWER(F17,0.669),
      0.0145*F17+1.39-0.00000283*POWER(F17,2)
   ),
   IF($C$3="Fluxometros",
      IF(F17&lt;150,
         0.68*POWER(F17,0.4),
         0.0122*F17+3.37-0.00000215*POWER(F17,2)
      )
   )
),
0))/1000</f>
        <v>2.8812992500000002E-3</v>
      </c>
      <c r="G18" s="63" t="s">
        <v>38</v>
      </c>
      <c r="H18" s="90">
        <f>(IFERROR(
IF($C$3="Tanques",
   IF(H17&lt;100,
      0.13*POWER(H17,0.669),
      0.0145*H17+1.39-0.00000283*POWER(H17,2)
   ),
   IF($C$3="Fluxometros",
      IF(H17&lt;150,
         0.68*POWER(H17,0.4),
         0.0122*H17+3.37-0.00000215*POWER(H17,2)
      )
   )
),
0))/1000</f>
        <v>2.5642844141912486E-3</v>
      </c>
      <c r="I18" s="63" t="s">
        <v>38</v>
      </c>
      <c r="J18" s="90">
        <f>(IFERROR(
IF($C$3="Tanques",
   IF(J17&lt;100,
      0.13*POWER(J17,0.669),
      0.0145*J17+1.39-0.00000283*POWER(J17,2)
   ),
   IF($C$3="Fluxometros",
      IF(J17&lt;150,
         0.68*POWER(J17,0.4),
         0.0122*J17+3.37-0.00000215*POWER(J17,2)
      )
   )
),
0))/1000</f>
        <v>1.9265279881543382E-3</v>
      </c>
      <c r="K18" s="62" t="s">
        <v>36</v>
      </c>
    </row>
    <row r="19" spans="2:11" ht="15.5" x14ac:dyDescent="0.35">
      <c r="C19" s="1"/>
      <c r="F19" s="107">
        <f>(IFERROR(
IF($C$3="Tanques",
   IF(F17&lt;100,
      0.13*POWER(F17,0.669),
      0.0145*F17+1.39-0.00000283*POWER(F17,2)
   ),
   IF($C$3="Fluxometros",
      IF(F17&lt;150,
         0.68*POWER(F17,0.4),
         0.0122*F17+3.37-0.00000215*POWER(F17,2)
      )
   )
),
0))</f>
        <v>2.8812992500000001</v>
      </c>
      <c r="G19" s="62" t="s">
        <v>36</v>
      </c>
      <c r="H19" s="107">
        <f>(IFERROR(
IF($C$3="Tanques",
   IF(H17&lt;100,
      0.13*POWER(H17,0.669),
      0.0145*H17+1.39-0.00000283*POWER(H17,2)
   ),
   IF($C$3="Fluxometros",
      IF(H17&lt;150,
         0.68*POWER(H17,0.4),
         0.0122*H17+3.37-0.00000215*POWER(H17,2)
      )
   )
),
0))</f>
        <v>2.5642844141912486</v>
      </c>
      <c r="I19" s="62" t="s">
        <v>36</v>
      </c>
      <c r="J19" s="107">
        <f>(IFERROR(
IF($C$3="Tanques",
   IF(J17&lt;100,
      0.13*POWER(J17,0.669),
      0.0145*J17+1.39-0.00000283*POWER(J17,2)
   ),
   IF($C$3="Fluxometros",
      IF(J17&lt;150,
         0.68*POWER(J17,0.4),
         0.0122*J17+3.37-0.00000215*POWER(J17,2)
      )
   )
),
0))</f>
        <v>1.9265279881543382</v>
      </c>
      <c r="K19" s="63" t="s">
        <v>37</v>
      </c>
    </row>
  </sheetData>
  <mergeCells count="1">
    <mergeCell ref="B2:J2"/>
  </mergeCells>
  <dataValidations disablePrompts="1" count="3">
    <dataValidation type="list" allowBlank="1" showInputMessage="1" showErrorMessage="1" sqref="C4" xr:uid="{6A73FBB5-BB59-4995-87B8-585519B5D27C}">
      <formula1>"Privado, Público"</formula1>
    </dataValidation>
    <dataValidation type="list" allowBlank="1" showInputMessage="1" showErrorMessage="1" sqref="E7:E16" xr:uid="{D7E23626-5A3F-450C-9542-94D33E8E61EE}">
      <formula1>"Fría, Fría y Caliente"</formula1>
    </dataValidation>
    <dataValidation type="list" allowBlank="1" showInputMessage="1" showErrorMessage="1" sqref="C3" xr:uid="{2602C2E1-4F58-4110-BFF9-728B937E6CCF}">
      <formula1>"Tanques, Fluxometros"</formula1>
    </dataValidation>
  </dataValidations>
  <pageMargins left="0.7" right="0.7" top="0.75" bottom="0.75" header="0.3" footer="0.3"/>
  <pageSetup paperSize="119" orientation="portrait" horizontalDpi="720" verticalDpi="72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 xr:uid="{0F77184C-2252-49D2-9E6A-7D5C25EF1138}">
          <x14:formula1>
            <xm:f>'Piezas Sanitarias'!$B$4:$B$20</xm:f>
          </x14:formula1>
          <xm:sqref>B7:B16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FA54-8331-492D-A125-CDAC4937E906}">
  <dimension ref="B3:F20"/>
  <sheetViews>
    <sheetView workbookViewId="0">
      <selection activeCell="F18" sqref="F18"/>
    </sheetView>
  </sheetViews>
  <sheetFormatPr baseColWidth="10" defaultRowHeight="14.5" x14ac:dyDescent="0.35"/>
  <cols>
    <col min="1" max="1" width="10.90625" style="64"/>
    <col min="2" max="2" width="24.26953125" style="64" bestFit="1" customWidth="1"/>
    <col min="3" max="3" width="21" style="64" bestFit="1" customWidth="1"/>
    <col min="4" max="4" width="19.36328125" style="64" bestFit="1" customWidth="1"/>
    <col min="5" max="5" width="32.26953125" style="64" bestFit="1" customWidth="1"/>
    <col min="6" max="6" width="32.1796875" style="64" bestFit="1" customWidth="1"/>
    <col min="7" max="16384" width="10.90625" style="64"/>
  </cols>
  <sheetData>
    <row r="3" spans="2:6" x14ac:dyDescent="0.35">
      <c r="B3" s="65" t="s">
        <v>45</v>
      </c>
      <c r="C3" s="65" t="s">
        <v>46</v>
      </c>
      <c r="D3" s="65" t="s">
        <v>47</v>
      </c>
      <c r="E3" s="65" t="s">
        <v>48</v>
      </c>
      <c r="F3" s="65" t="s">
        <v>49</v>
      </c>
    </row>
    <row r="4" spans="2:6" x14ac:dyDescent="0.35">
      <c r="B4" s="66" t="s">
        <v>50</v>
      </c>
      <c r="C4" s="66">
        <v>12</v>
      </c>
      <c r="D4" s="66">
        <v>2</v>
      </c>
      <c r="E4" s="66">
        <v>2</v>
      </c>
      <c r="F4" s="66">
        <v>4</v>
      </c>
    </row>
    <row r="5" spans="2:6" x14ac:dyDescent="0.35">
      <c r="B5" s="66" t="s">
        <v>51</v>
      </c>
      <c r="C5" s="66">
        <v>12</v>
      </c>
      <c r="D5" s="66">
        <v>3</v>
      </c>
      <c r="E5" s="66">
        <v>1</v>
      </c>
      <c r="F5" s="66">
        <v>2</v>
      </c>
    </row>
    <row r="6" spans="2:6" x14ac:dyDescent="0.35">
      <c r="B6" s="66" t="s">
        <v>52</v>
      </c>
      <c r="C6" s="66">
        <v>12</v>
      </c>
      <c r="D6" s="66">
        <v>2</v>
      </c>
      <c r="E6" s="66">
        <v>2</v>
      </c>
      <c r="F6" s="66">
        <v>4</v>
      </c>
    </row>
    <row r="7" spans="2:6" x14ac:dyDescent="0.35">
      <c r="B7" s="66" t="s">
        <v>53</v>
      </c>
      <c r="C7" s="66">
        <v>12</v>
      </c>
      <c r="D7" s="66">
        <v>2</v>
      </c>
      <c r="E7" s="66">
        <v>2</v>
      </c>
      <c r="F7" s="66">
        <v>4</v>
      </c>
    </row>
    <row r="8" spans="2:6" x14ac:dyDescent="0.35">
      <c r="B8" s="66" t="s">
        <v>54</v>
      </c>
      <c r="C8" s="66">
        <v>12</v>
      </c>
      <c r="D8" s="66">
        <v>2</v>
      </c>
      <c r="E8" s="67">
        <v>0</v>
      </c>
      <c r="F8" s="66">
        <v>4</v>
      </c>
    </row>
    <row r="9" spans="2:6" x14ac:dyDescent="0.35">
      <c r="B9" s="66" t="s">
        <v>55</v>
      </c>
      <c r="C9" s="66">
        <v>12</v>
      </c>
      <c r="D9" s="66">
        <v>4</v>
      </c>
      <c r="E9" s="67">
        <v>0</v>
      </c>
      <c r="F9" s="66">
        <v>8</v>
      </c>
    </row>
    <row r="10" spans="2:6" x14ac:dyDescent="0.35">
      <c r="B10" s="66" t="s">
        <v>56</v>
      </c>
      <c r="C10" s="66">
        <v>12</v>
      </c>
      <c r="D10" s="66">
        <v>2</v>
      </c>
      <c r="E10" s="66">
        <v>3</v>
      </c>
      <c r="F10" s="66">
        <v>5</v>
      </c>
    </row>
    <row r="11" spans="2:6" x14ac:dyDescent="0.35">
      <c r="B11" s="66" t="s">
        <v>57</v>
      </c>
      <c r="C11" s="66">
        <v>32</v>
      </c>
      <c r="D11" s="66" t="s">
        <v>58</v>
      </c>
      <c r="E11" s="66">
        <v>6</v>
      </c>
      <c r="F11" s="66">
        <v>10</v>
      </c>
    </row>
    <row r="12" spans="2:6" x14ac:dyDescent="0.35">
      <c r="B12" s="66" t="s">
        <v>59</v>
      </c>
      <c r="C12" s="66">
        <v>12</v>
      </c>
      <c r="D12" s="66" t="s">
        <v>60</v>
      </c>
      <c r="E12" s="67">
        <v>0</v>
      </c>
      <c r="F12" s="66">
        <v>1</v>
      </c>
    </row>
    <row r="13" spans="2:6" x14ac:dyDescent="0.35">
      <c r="B13" s="66" t="s">
        <v>61</v>
      </c>
      <c r="C13" s="66">
        <v>12</v>
      </c>
      <c r="D13" s="66">
        <v>2</v>
      </c>
      <c r="E13" s="66">
        <v>1</v>
      </c>
      <c r="F13" s="66">
        <v>2</v>
      </c>
    </row>
    <row r="14" spans="2:6" x14ac:dyDescent="0.35">
      <c r="B14" s="66" t="s">
        <v>62</v>
      </c>
      <c r="C14" s="66">
        <v>12</v>
      </c>
      <c r="D14" s="66" t="s">
        <v>63</v>
      </c>
      <c r="E14" s="66">
        <v>4</v>
      </c>
      <c r="F14" s="67">
        <v>0</v>
      </c>
    </row>
    <row r="15" spans="2:6" x14ac:dyDescent="0.35">
      <c r="B15" s="66" t="s">
        <v>64</v>
      </c>
      <c r="C15" s="66">
        <v>12</v>
      </c>
      <c r="D15" s="66">
        <v>10</v>
      </c>
      <c r="E15" s="66">
        <v>2</v>
      </c>
      <c r="F15" s="66">
        <v>2</v>
      </c>
    </row>
    <row r="16" spans="2:6" x14ac:dyDescent="0.35">
      <c r="B16" s="66" t="s">
        <v>65</v>
      </c>
      <c r="C16" s="66">
        <v>18</v>
      </c>
      <c r="D16" s="66">
        <v>2</v>
      </c>
      <c r="E16" s="67">
        <v>0</v>
      </c>
      <c r="F16" s="66">
        <v>3</v>
      </c>
    </row>
    <row r="17" spans="2:6" x14ac:dyDescent="0.35">
      <c r="B17" s="66" t="s">
        <v>66</v>
      </c>
      <c r="C17" s="66">
        <v>18</v>
      </c>
      <c r="D17" s="66" t="s">
        <v>67</v>
      </c>
      <c r="E17" s="66">
        <v>5</v>
      </c>
      <c r="F17" s="66">
        <v>6</v>
      </c>
    </row>
    <row r="18" spans="2:6" x14ac:dyDescent="0.35">
      <c r="B18" s="66" t="s">
        <v>68</v>
      </c>
      <c r="C18" s="66">
        <v>12</v>
      </c>
      <c r="D18" s="66">
        <v>2</v>
      </c>
      <c r="E18" s="66">
        <v>1.5</v>
      </c>
      <c r="F18" s="67">
        <v>0</v>
      </c>
    </row>
    <row r="19" spans="2:6" x14ac:dyDescent="0.35">
      <c r="B19" s="66" t="s">
        <v>69</v>
      </c>
      <c r="C19" s="66">
        <v>12</v>
      </c>
      <c r="D19" s="66">
        <v>2</v>
      </c>
      <c r="E19" s="66">
        <v>2</v>
      </c>
      <c r="F19" s="66">
        <v>4</v>
      </c>
    </row>
    <row r="20" spans="2:6" x14ac:dyDescent="0.35">
      <c r="B20" s="6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8"/>
  <sheetViews>
    <sheetView workbookViewId="0">
      <selection activeCell="H5" sqref="H5"/>
    </sheetView>
  </sheetViews>
  <sheetFormatPr baseColWidth="10" defaultRowHeight="14.5" x14ac:dyDescent="0.35"/>
  <cols>
    <col min="2" max="2" width="10.26953125" bestFit="1" customWidth="1"/>
    <col min="3" max="3" width="11.54296875" bestFit="1" customWidth="1"/>
    <col min="4" max="5" width="12.81640625" bestFit="1" customWidth="1"/>
    <col min="6" max="7" width="9" bestFit="1" customWidth="1"/>
    <col min="8" max="8" width="10.26953125" bestFit="1" customWidth="1"/>
    <col min="9" max="9" width="12.81640625" bestFit="1" customWidth="1"/>
    <col min="10" max="10" width="6.453125" bestFit="1" customWidth="1"/>
    <col min="11" max="12" width="10.26953125" bestFit="1" customWidth="1"/>
    <col min="13" max="13" width="11.453125" bestFit="1" customWidth="1"/>
    <col min="14" max="14" width="11.54296875" bestFit="1" customWidth="1"/>
  </cols>
  <sheetData>
    <row r="2" spans="2:16" ht="15" thickBot="1" x14ac:dyDescent="0.4"/>
    <row r="3" spans="2:16" x14ac:dyDescent="0.35">
      <c r="B3" s="78" t="s">
        <v>3</v>
      </c>
      <c r="C3" s="43" t="s">
        <v>4</v>
      </c>
      <c r="D3" s="78" t="s">
        <v>5</v>
      </c>
      <c r="E3" s="78" t="s">
        <v>6</v>
      </c>
      <c r="F3" s="43" t="s">
        <v>7</v>
      </c>
      <c r="G3" s="43" t="s">
        <v>7</v>
      </c>
      <c r="H3" s="43" t="s">
        <v>7</v>
      </c>
      <c r="I3" s="78" t="s">
        <v>8</v>
      </c>
      <c r="J3" s="78" t="s">
        <v>14</v>
      </c>
      <c r="K3" s="43" t="s">
        <v>40</v>
      </c>
      <c r="L3" s="43" t="s">
        <v>41</v>
      </c>
      <c r="M3" s="43" t="s">
        <v>25</v>
      </c>
      <c r="N3" s="43" t="s">
        <v>9</v>
      </c>
      <c r="O3" s="43" t="s">
        <v>10</v>
      </c>
      <c r="P3" s="78" t="s">
        <v>3</v>
      </c>
    </row>
    <row r="4" spans="2:16" x14ac:dyDescent="0.35">
      <c r="B4" s="79"/>
      <c r="C4" s="44" t="s">
        <v>42</v>
      </c>
      <c r="D4" s="79"/>
      <c r="E4" s="79"/>
      <c r="F4" s="44" t="s">
        <v>11</v>
      </c>
      <c r="G4" s="44" t="s">
        <v>12</v>
      </c>
      <c r="H4" s="44" t="s">
        <v>13</v>
      </c>
      <c r="I4" s="79"/>
      <c r="J4" s="79"/>
      <c r="K4" s="44" t="s">
        <v>41</v>
      </c>
      <c r="L4" s="44" t="s">
        <v>43</v>
      </c>
      <c r="M4" s="44" t="s">
        <v>44</v>
      </c>
      <c r="N4" s="44" t="s">
        <v>15</v>
      </c>
      <c r="O4" s="44" t="s">
        <v>16</v>
      </c>
      <c r="P4" s="79"/>
    </row>
    <row r="5" spans="2:16" ht="17" thickBot="1" x14ac:dyDescent="0.4">
      <c r="B5" s="81"/>
      <c r="C5" s="45" t="s">
        <v>17</v>
      </c>
      <c r="D5" s="45" t="s">
        <v>35</v>
      </c>
      <c r="E5" s="45" t="s">
        <v>18</v>
      </c>
      <c r="F5" s="45" t="s">
        <v>19</v>
      </c>
      <c r="G5" s="45" t="s">
        <v>19</v>
      </c>
      <c r="H5" s="45" t="s">
        <v>20</v>
      </c>
      <c r="I5" s="81"/>
      <c r="J5" s="81"/>
      <c r="K5" s="45" t="s">
        <v>21</v>
      </c>
      <c r="L5" s="45" t="s">
        <v>21</v>
      </c>
      <c r="M5" s="45" t="s">
        <v>17</v>
      </c>
      <c r="N5" s="45"/>
      <c r="O5" s="45" t="s">
        <v>21</v>
      </c>
      <c r="P5" s="80"/>
    </row>
    <row r="6" spans="2:16" x14ac:dyDescent="0.35">
      <c r="B6" s="2"/>
      <c r="C6" s="3"/>
      <c r="D6" s="10"/>
      <c r="E6" s="4"/>
      <c r="F6" s="10"/>
      <c r="G6" s="4"/>
      <c r="H6" s="4"/>
      <c r="I6" s="4"/>
      <c r="J6" s="48"/>
      <c r="K6" s="5"/>
      <c r="L6" s="6"/>
      <c r="M6" s="6"/>
      <c r="N6" s="7"/>
      <c r="O6" s="8"/>
      <c r="P6" s="9"/>
    </row>
    <row r="7" spans="2:16" x14ac:dyDescent="0.35">
      <c r="B7" s="11" t="s">
        <v>22</v>
      </c>
      <c r="C7" s="12"/>
      <c r="D7" s="13">
        <f>+'Caudal de Diseño'!$F$18/1000</f>
        <v>2.8812992500000003E-6</v>
      </c>
      <c r="E7" s="14"/>
      <c r="F7" s="15" t="e">
        <f t="shared" ref="F7:F18" si="0">((((4*D7)/(PI()*E7))^(0.5))*1000)</f>
        <v>#DIV/0!</v>
      </c>
      <c r="G7" s="16"/>
      <c r="H7" s="17"/>
      <c r="I7" s="19">
        <v>26</v>
      </c>
      <c r="J7" s="18">
        <v>150</v>
      </c>
      <c r="K7" s="20" t="e">
        <f>((10.675*((D7/J7))^(1.85))*C7)/(G7/1000)^(4.87)</f>
        <v>#DIV/0!</v>
      </c>
      <c r="L7" s="16"/>
      <c r="M7" s="17"/>
      <c r="N7" s="21"/>
      <c r="O7" s="21"/>
      <c r="P7" s="11" t="s">
        <v>22</v>
      </c>
    </row>
    <row r="8" spans="2:16" x14ac:dyDescent="0.35">
      <c r="B8" s="22" t="s">
        <v>23</v>
      </c>
      <c r="C8" s="23"/>
      <c r="D8" s="24">
        <f>+'Caudal de Diseño'!$F$18/1000</f>
        <v>2.8812992500000003E-6</v>
      </c>
      <c r="E8" s="25"/>
      <c r="F8" s="26" t="e">
        <f t="shared" si="0"/>
        <v>#DIV/0!</v>
      </c>
      <c r="G8" s="27"/>
      <c r="H8" s="28"/>
      <c r="I8" s="30">
        <v>26</v>
      </c>
      <c r="J8" s="29">
        <v>150</v>
      </c>
      <c r="K8" s="31" t="e">
        <f t="shared" ref="K8:K18" si="1">((10.675*((D8/J8))^(1.85))*C8)/(G8/1000)^(4.87)</f>
        <v>#DIV/0!</v>
      </c>
      <c r="L8" s="27"/>
      <c r="M8" s="28"/>
      <c r="N8" s="32"/>
      <c r="O8" s="32"/>
      <c r="P8" s="22" t="s">
        <v>23</v>
      </c>
    </row>
    <row r="9" spans="2:16" x14ac:dyDescent="0.35">
      <c r="B9" s="22" t="s">
        <v>24</v>
      </c>
      <c r="C9" s="23"/>
      <c r="D9" s="24">
        <f>+'Caudal de Diseño'!$F$18/1000</f>
        <v>2.8812992500000003E-6</v>
      </c>
      <c r="E9" s="25"/>
      <c r="F9" s="26" t="e">
        <f t="shared" si="0"/>
        <v>#DIV/0!</v>
      </c>
      <c r="G9" s="27"/>
      <c r="H9" s="28"/>
      <c r="I9" s="30">
        <v>26</v>
      </c>
      <c r="J9" s="29">
        <v>150</v>
      </c>
      <c r="K9" s="31" t="e">
        <f t="shared" si="1"/>
        <v>#DIV/0!</v>
      </c>
      <c r="L9" s="27"/>
      <c r="M9" s="28"/>
      <c r="N9" s="32"/>
      <c r="O9" s="32"/>
      <c r="P9" s="22" t="s">
        <v>24</v>
      </c>
    </row>
    <row r="10" spans="2:16" x14ac:dyDescent="0.35">
      <c r="B10" s="22" t="s">
        <v>26</v>
      </c>
      <c r="C10" s="23"/>
      <c r="D10" s="24">
        <f>+'Caudal de Diseño'!$F$18/1000</f>
        <v>2.8812992500000003E-6</v>
      </c>
      <c r="E10" s="25"/>
      <c r="F10" s="26" t="e">
        <f t="shared" si="0"/>
        <v>#DIV/0!</v>
      </c>
      <c r="G10" s="27"/>
      <c r="H10" s="28"/>
      <c r="I10" s="30">
        <v>26</v>
      </c>
      <c r="J10" s="29">
        <v>150</v>
      </c>
      <c r="K10" s="31" t="e">
        <f t="shared" si="1"/>
        <v>#DIV/0!</v>
      </c>
      <c r="L10" s="27"/>
      <c r="M10" s="28"/>
      <c r="N10" s="32"/>
      <c r="O10" s="33"/>
      <c r="P10" s="22" t="s">
        <v>26</v>
      </c>
    </row>
    <row r="11" spans="2:16" x14ac:dyDescent="0.35">
      <c r="B11" s="22" t="s">
        <v>27</v>
      </c>
      <c r="C11" s="23"/>
      <c r="D11" s="24">
        <f>+'Caudal de Diseño'!$F$18/1000</f>
        <v>2.8812992500000003E-6</v>
      </c>
      <c r="E11" s="25"/>
      <c r="F11" s="26" t="e">
        <f t="shared" si="0"/>
        <v>#DIV/0!</v>
      </c>
      <c r="G11" s="27"/>
      <c r="H11" s="28"/>
      <c r="I11" s="30">
        <v>26</v>
      </c>
      <c r="J11" s="29">
        <v>150</v>
      </c>
      <c r="K11" s="31" t="e">
        <f t="shared" si="1"/>
        <v>#DIV/0!</v>
      </c>
      <c r="L11" s="27"/>
      <c r="M11" s="28"/>
      <c r="N11" s="32"/>
      <c r="O11" s="32"/>
      <c r="P11" s="22" t="s">
        <v>27</v>
      </c>
    </row>
    <row r="12" spans="2:16" x14ac:dyDescent="0.35">
      <c r="B12" s="22" t="s">
        <v>28</v>
      </c>
      <c r="C12" s="23"/>
      <c r="D12" s="24">
        <f>+'Caudal de Diseño'!$F$18/1000</f>
        <v>2.8812992500000003E-6</v>
      </c>
      <c r="E12" s="25"/>
      <c r="F12" s="26" t="e">
        <f t="shared" si="0"/>
        <v>#DIV/0!</v>
      </c>
      <c r="G12" s="27"/>
      <c r="H12" s="28"/>
      <c r="I12" s="30">
        <v>26</v>
      </c>
      <c r="J12" s="29">
        <v>150</v>
      </c>
      <c r="K12" s="31" t="e">
        <f t="shared" si="1"/>
        <v>#DIV/0!</v>
      </c>
      <c r="L12" s="27"/>
      <c r="M12" s="28"/>
      <c r="N12" s="32"/>
      <c r="O12" s="32"/>
      <c r="P12" s="22" t="s">
        <v>28</v>
      </c>
    </row>
    <row r="13" spans="2:16" x14ac:dyDescent="0.35">
      <c r="B13" s="22" t="s">
        <v>29</v>
      </c>
      <c r="C13" s="23"/>
      <c r="D13" s="24">
        <f>+'Caudal de Diseño'!$F$18/1000</f>
        <v>2.8812992500000003E-6</v>
      </c>
      <c r="E13" s="25"/>
      <c r="F13" s="26" t="e">
        <f t="shared" si="0"/>
        <v>#DIV/0!</v>
      </c>
      <c r="G13" s="27"/>
      <c r="H13" s="28"/>
      <c r="I13" s="46">
        <v>26</v>
      </c>
      <c r="J13" s="29">
        <v>150</v>
      </c>
      <c r="K13" s="31" t="e">
        <f t="shared" si="1"/>
        <v>#DIV/0!</v>
      </c>
      <c r="L13" s="27"/>
      <c r="M13" s="28"/>
      <c r="N13" s="32"/>
      <c r="O13" s="32"/>
      <c r="P13" s="22" t="s">
        <v>29</v>
      </c>
    </row>
    <row r="14" spans="2:16" x14ac:dyDescent="0.35">
      <c r="B14" s="22" t="s">
        <v>30</v>
      </c>
      <c r="C14" s="23"/>
      <c r="D14" s="24">
        <f>+'Caudal de Diseño'!$F$18/1000</f>
        <v>2.8812992500000003E-6</v>
      </c>
      <c r="E14" s="25"/>
      <c r="F14" s="26" t="e">
        <f t="shared" si="0"/>
        <v>#DIV/0!</v>
      </c>
      <c r="G14" s="27"/>
      <c r="H14" s="28"/>
      <c r="I14" s="30">
        <v>26</v>
      </c>
      <c r="J14" s="29">
        <v>150</v>
      </c>
      <c r="K14" s="31" t="e">
        <f t="shared" si="1"/>
        <v>#DIV/0!</v>
      </c>
      <c r="L14" s="27"/>
      <c r="M14" s="28"/>
      <c r="N14" s="32"/>
      <c r="O14" s="32"/>
      <c r="P14" s="22" t="s">
        <v>30</v>
      </c>
    </row>
    <row r="15" spans="2:16" x14ac:dyDescent="0.35">
      <c r="B15" s="22" t="s">
        <v>31</v>
      </c>
      <c r="C15" s="23"/>
      <c r="D15" s="24">
        <f>+'Caudal de Diseño'!$F$18/1000</f>
        <v>2.8812992500000003E-6</v>
      </c>
      <c r="E15" s="25"/>
      <c r="F15" s="26" t="e">
        <f t="shared" si="0"/>
        <v>#DIV/0!</v>
      </c>
      <c r="G15" s="27"/>
      <c r="H15" s="28"/>
      <c r="I15" s="30">
        <v>26</v>
      </c>
      <c r="J15" s="29">
        <v>150</v>
      </c>
      <c r="K15" s="31" t="e">
        <f t="shared" si="1"/>
        <v>#DIV/0!</v>
      </c>
      <c r="L15" s="27"/>
      <c r="M15" s="28"/>
      <c r="N15" s="32"/>
      <c r="O15" s="32"/>
      <c r="P15" s="22" t="s">
        <v>31</v>
      </c>
    </row>
    <row r="16" spans="2:16" x14ac:dyDescent="0.35">
      <c r="B16" s="22" t="s">
        <v>32</v>
      </c>
      <c r="C16" s="23"/>
      <c r="D16" s="24">
        <f>+'Caudal de Diseño'!$F$18/1000</f>
        <v>2.8812992500000003E-6</v>
      </c>
      <c r="E16" s="25"/>
      <c r="F16" s="26" t="e">
        <f t="shared" si="0"/>
        <v>#DIV/0!</v>
      </c>
      <c r="G16" s="27"/>
      <c r="H16" s="28"/>
      <c r="I16" s="30">
        <v>26</v>
      </c>
      <c r="J16" s="29">
        <v>150</v>
      </c>
      <c r="K16" s="31" t="e">
        <f t="shared" si="1"/>
        <v>#DIV/0!</v>
      </c>
      <c r="L16" s="27"/>
      <c r="M16" s="28"/>
      <c r="N16" s="32"/>
      <c r="O16" s="32"/>
      <c r="P16" s="22" t="s">
        <v>32</v>
      </c>
    </row>
    <row r="17" spans="2:16" x14ac:dyDescent="0.35">
      <c r="B17" s="22" t="s">
        <v>33</v>
      </c>
      <c r="C17" s="34"/>
      <c r="D17" s="24">
        <f>+'Caudal de Diseño'!$F$18/1000</f>
        <v>2.8812992500000003E-6</v>
      </c>
      <c r="E17" s="25"/>
      <c r="F17" s="26" t="e">
        <f t="shared" si="0"/>
        <v>#DIV/0!</v>
      </c>
      <c r="G17" s="27"/>
      <c r="H17" s="28"/>
      <c r="I17" s="46">
        <v>26</v>
      </c>
      <c r="J17" s="29">
        <v>150</v>
      </c>
      <c r="K17" s="31" t="e">
        <f t="shared" si="1"/>
        <v>#DIV/0!</v>
      </c>
      <c r="L17" s="27"/>
      <c r="M17" s="28"/>
      <c r="N17" s="32"/>
      <c r="O17" s="32"/>
      <c r="P17" s="22" t="s">
        <v>33</v>
      </c>
    </row>
    <row r="18" spans="2:16" x14ac:dyDescent="0.35">
      <c r="B18" s="35" t="s">
        <v>34</v>
      </c>
      <c r="C18" s="36"/>
      <c r="D18" s="37">
        <f>+'Caudal de Diseño'!$F$18/1000</f>
        <v>2.8812992500000003E-6</v>
      </c>
      <c r="E18" s="38"/>
      <c r="F18" s="39" t="e">
        <f t="shared" si="0"/>
        <v>#DIV/0!</v>
      </c>
      <c r="G18" s="40"/>
      <c r="H18" s="39"/>
      <c r="I18" s="47">
        <v>26</v>
      </c>
      <c r="J18" s="49">
        <v>150</v>
      </c>
      <c r="K18" s="50" t="e">
        <f t="shared" si="1"/>
        <v>#DIV/0!</v>
      </c>
      <c r="L18" s="40"/>
      <c r="M18" s="41"/>
      <c r="N18" s="42"/>
      <c r="O18" s="42"/>
      <c r="P18" s="35" t="s">
        <v>34</v>
      </c>
    </row>
  </sheetData>
  <mergeCells count="6">
    <mergeCell ref="P3:P5"/>
    <mergeCell ref="B3:B5"/>
    <mergeCell ref="D3:D4"/>
    <mergeCell ref="E3:E4"/>
    <mergeCell ref="I3:I5"/>
    <mergeCell ref="J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Caudal de Diseño</vt:lpstr>
      <vt:lpstr>Piezas Sanitarias</vt:lpstr>
      <vt:lpstr>Memoria de Cálculo</vt:lpstr>
    </vt:vector>
  </TitlesOfParts>
  <Company>Instituto Tecnológico de Costa 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adquesada</dc:creator>
  <cp:lastModifiedBy>Adrian Quesada Martinez</cp:lastModifiedBy>
  <dcterms:created xsi:type="dcterms:W3CDTF">2013-08-14T15:13:43Z</dcterms:created>
  <dcterms:modified xsi:type="dcterms:W3CDTF">2026-01-21T16:56:08Z</dcterms:modified>
</cp:coreProperties>
</file>