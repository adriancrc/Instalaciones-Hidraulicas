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qm81\Desktop\"/>
    </mc:Choice>
  </mc:AlternateContent>
  <xr:revisionPtr revIDLastSave="0" documentId="8_{12C24A63-1B55-4AE1-A638-9580E05BE00B}" xr6:coauthVersionLast="47" xr6:coauthVersionMax="47" xr10:uidLastSave="{00000000-0000-0000-0000-000000000000}"/>
  <bookViews>
    <workbookView xWindow="38280" yWindow="-120" windowWidth="29040" windowHeight="15720" activeTab="2" xr2:uid="{00000000-000D-0000-FFFF-FFFF00000000}"/>
  </bookViews>
  <sheets>
    <sheet name="Caudal de Diseño" sheetId="1" r:id="rId1"/>
    <sheet name="Piezas Sanitarias" sheetId="3" r:id="rId2"/>
    <sheet name="Memoria de Cálculo (2)" sheetId="4" r:id="rId3"/>
    <sheet name="Memoria de Cálculo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2" i="4" l="1"/>
  <c r="D22" i="4"/>
  <c r="D21" i="4"/>
  <c r="I485" i="1"/>
  <c r="J485" i="1" s="1"/>
  <c r="G485" i="1"/>
  <c r="H485" i="1" s="1"/>
  <c r="F485" i="1"/>
  <c r="D485" i="1"/>
  <c r="I484" i="1"/>
  <c r="J484" i="1" s="1"/>
  <c r="D484" i="1"/>
  <c r="G484" i="1" s="1"/>
  <c r="H484" i="1" s="1"/>
  <c r="I483" i="1"/>
  <c r="J483" i="1" s="1"/>
  <c r="D483" i="1"/>
  <c r="G483" i="1" s="1"/>
  <c r="H483" i="1" s="1"/>
  <c r="D482" i="1"/>
  <c r="I482" i="1" s="1"/>
  <c r="J482" i="1" s="1"/>
  <c r="D481" i="1"/>
  <c r="I481" i="1" s="1"/>
  <c r="J481" i="1" s="1"/>
  <c r="D480" i="1"/>
  <c r="I480" i="1" s="1"/>
  <c r="J480" i="1" s="1"/>
  <c r="I479" i="1"/>
  <c r="J479" i="1" s="1"/>
  <c r="D479" i="1"/>
  <c r="G479" i="1" s="1"/>
  <c r="H479" i="1" s="1"/>
  <c r="I478" i="1"/>
  <c r="J478" i="1" s="1"/>
  <c r="G478" i="1"/>
  <c r="H478" i="1" s="1"/>
  <c r="F478" i="1"/>
  <c r="D478" i="1"/>
  <c r="D477" i="1"/>
  <c r="I477" i="1" s="1"/>
  <c r="J477" i="1" s="1"/>
  <c r="I476" i="1"/>
  <c r="J476" i="1" s="1"/>
  <c r="J486" i="1" s="1"/>
  <c r="D476" i="1"/>
  <c r="G476" i="1" s="1"/>
  <c r="H476" i="1" s="1"/>
  <c r="D20" i="4"/>
  <c r="I462" i="1"/>
  <c r="J462" i="1" s="1"/>
  <c r="D462" i="1"/>
  <c r="G462" i="1" s="1"/>
  <c r="H462" i="1" s="1"/>
  <c r="I461" i="1"/>
  <c r="J461" i="1" s="1"/>
  <c r="D461" i="1"/>
  <c r="G461" i="1" s="1"/>
  <c r="H461" i="1" s="1"/>
  <c r="I460" i="1"/>
  <c r="J460" i="1" s="1"/>
  <c r="D460" i="1"/>
  <c r="G460" i="1" s="1"/>
  <c r="H460" i="1" s="1"/>
  <c r="H459" i="1"/>
  <c r="G459" i="1"/>
  <c r="F459" i="1"/>
  <c r="D459" i="1"/>
  <c r="I459" i="1" s="1"/>
  <c r="J459" i="1" s="1"/>
  <c r="D458" i="1"/>
  <c r="I458" i="1" s="1"/>
  <c r="J458" i="1" s="1"/>
  <c r="D457" i="1"/>
  <c r="G457" i="1" s="1"/>
  <c r="H457" i="1" s="1"/>
  <c r="J456" i="1"/>
  <c r="I456" i="1"/>
  <c r="D456" i="1"/>
  <c r="F456" i="1" s="1"/>
  <c r="I455" i="1"/>
  <c r="J455" i="1" s="1"/>
  <c r="G455" i="1"/>
  <c r="H455" i="1" s="1"/>
  <c r="F455" i="1"/>
  <c r="D455" i="1"/>
  <c r="D454" i="1"/>
  <c r="I454" i="1" s="1"/>
  <c r="J454" i="1" s="1"/>
  <c r="I453" i="1"/>
  <c r="J453" i="1" s="1"/>
  <c r="D453" i="1"/>
  <c r="F453" i="1" s="1"/>
  <c r="D19" i="4"/>
  <c r="D18" i="4"/>
  <c r="I438" i="1"/>
  <c r="J438" i="1" s="1"/>
  <c r="D438" i="1"/>
  <c r="G438" i="1" s="1"/>
  <c r="H438" i="1" s="1"/>
  <c r="I437" i="1"/>
  <c r="J437" i="1" s="1"/>
  <c r="D437" i="1"/>
  <c r="G437" i="1" s="1"/>
  <c r="H437" i="1" s="1"/>
  <c r="I436" i="1"/>
  <c r="J436" i="1" s="1"/>
  <c r="D436" i="1"/>
  <c r="F436" i="1" s="1"/>
  <c r="D435" i="1"/>
  <c r="I435" i="1" s="1"/>
  <c r="J435" i="1" s="1"/>
  <c r="D434" i="1"/>
  <c r="I434" i="1" s="1"/>
  <c r="J434" i="1" s="1"/>
  <c r="D433" i="1"/>
  <c r="I433" i="1" s="1"/>
  <c r="J433" i="1" s="1"/>
  <c r="I432" i="1"/>
  <c r="J432" i="1" s="1"/>
  <c r="D432" i="1"/>
  <c r="F432" i="1" s="1"/>
  <c r="I431" i="1"/>
  <c r="J431" i="1" s="1"/>
  <c r="G431" i="1"/>
  <c r="H431" i="1" s="1"/>
  <c r="F431" i="1"/>
  <c r="D431" i="1"/>
  <c r="D430" i="1"/>
  <c r="I430" i="1" s="1"/>
  <c r="J430" i="1" s="1"/>
  <c r="I429" i="1"/>
  <c r="J429" i="1" s="1"/>
  <c r="J439" i="1" s="1"/>
  <c r="D429" i="1"/>
  <c r="G429" i="1" s="1"/>
  <c r="H429" i="1" s="1"/>
  <c r="D17" i="4"/>
  <c r="I414" i="1"/>
  <c r="J414" i="1" s="1"/>
  <c r="D414" i="1"/>
  <c r="G414" i="1" s="1"/>
  <c r="H414" i="1" s="1"/>
  <c r="I413" i="1"/>
  <c r="J413" i="1" s="1"/>
  <c r="D413" i="1"/>
  <c r="F413" i="1" s="1"/>
  <c r="I412" i="1"/>
  <c r="J412" i="1" s="1"/>
  <c r="G412" i="1"/>
  <c r="H412" i="1" s="1"/>
  <c r="D412" i="1"/>
  <c r="F412" i="1" s="1"/>
  <c r="D411" i="1"/>
  <c r="I411" i="1" s="1"/>
  <c r="J411" i="1" s="1"/>
  <c r="D410" i="1"/>
  <c r="G410" i="1" s="1"/>
  <c r="H410" i="1" s="1"/>
  <c r="D409" i="1"/>
  <c r="F409" i="1" s="1"/>
  <c r="I408" i="1"/>
  <c r="J408" i="1" s="1"/>
  <c r="G408" i="1"/>
  <c r="H408" i="1" s="1"/>
  <c r="D408" i="1"/>
  <c r="F408" i="1" s="1"/>
  <c r="I407" i="1"/>
  <c r="J407" i="1" s="1"/>
  <c r="G407" i="1"/>
  <c r="H407" i="1" s="1"/>
  <c r="F407" i="1"/>
  <c r="D407" i="1"/>
  <c r="D406" i="1"/>
  <c r="I406" i="1" s="1"/>
  <c r="J406" i="1" s="1"/>
  <c r="I405" i="1"/>
  <c r="J405" i="1" s="1"/>
  <c r="D405" i="1"/>
  <c r="F405" i="1" s="1"/>
  <c r="D16" i="4"/>
  <c r="K16" i="4" s="1"/>
  <c r="D15" i="4"/>
  <c r="I390" i="1"/>
  <c r="J390" i="1" s="1"/>
  <c r="D390" i="1"/>
  <c r="F390" i="1" s="1"/>
  <c r="I389" i="1"/>
  <c r="J389" i="1" s="1"/>
  <c r="D389" i="1"/>
  <c r="F389" i="1" s="1"/>
  <c r="I388" i="1"/>
  <c r="J388" i="1" s="1"/>
  <c r="D388" i="1"/>
  <c r="G388" i="1" s="1"/>
  <c r="H388" i="1" s="1"/>
  <c r="D387" i="1"/>
  <c r="I387" i="1" s="1"/>
  <c r="J387" i="1" s="1"/>
  <c r="D386" i="1"/>
  <c r="G386" i="1" s="1"/>
  <c r="H386" i="1" s="1"/>
  <c r="D385" i="1"/>
  <c r="I385" i="1" s="1"/>
  <c r="J385" i="1" s="1"/>
  <c r="I384" i="1"/>
  <c r="J384" i="1" s="1"/>
  <c r="D384" i="1"/>
  <c r="F384" i="1" s="1"/>
  <c r="I383" i="1"/>
  <c r="J383" i="1" s="1"/>
  <c r="G383" i="1"/>
  <c r="H383" i="1" s="1"/>
  <c r="F383" i="1"/>
  <c r="D383" i="1"/>
  <c r="D382" i="1"/>
  <c r="G382" i="1" s="1"/>
  <c r="H382" i="1" s="1"/>
  <c r="I381" i="1"/>
  <c r="J381" i="1" s="1"/>
  <c r="D381" i="1"/>
  <c r="F381" i="1" s="1"/>
  <c r="D14" i="4"/>
  <c r="I366" i="1"/>
  <c r="J366" i="1" s="1"/>
  <c r="D366" i="1"/>
  <c r="F366" i="1" s="1"/>
  <c r="I365" i="1"/>
  <c r="J365" i="1" s="1"/>
  <c r="D365" i="1"/>
  <c r="G365" i="1" s="1"/>
  <c r="H365" i="1" s="1"/>
  <c r="I364" i="1"/>
  <c r="J364" i="1" s="1"/>
  <c r="D364" i="1"/>
  <c r="G364" i="1" s="1"/>
  <c r="H364" i="1" s="1"/>
  <c r="D363" i="1"/>
  <c r="I363" i="1" s="1"/>
  <c r="J363" i="1" s="1"/>
  <c r="D362" i="1"/>
  <c r="I362" i="1" s="1"/>
  <c r="J362" i="1" s="1"/>
  <c r="D361" i="1"/>
  <c r="I361" i="1" s="1"/>
  <c r="J361" i="1" s="1"/>
  <c r="I360" i="1"/>
  <c r="J360" i="1" s="1"/>
  <c r="D360" i="1"/>
  <c r="G360" i="1" s="1"/>
  <c r="H360" i="1" s="1"/>
  <c r="I359" i="1"/>
  <c r="J359" i="1" s="1"/>
  <c r="G359" i="1"/>
  <c r="H359" i="1" s="1"/>
  <c r="F359" i="1"/>
  <c r="D359" i="1"/>
  <c r="G358" i="1"/>
  <c r="H358" i="1" s="1"/>
  <c r="D358" i="1"/>
  <c r="I358" i="1" s="1"/>
  <c r="J358" i="1" s="1"/>
  <c r="I357" i="1"/>
  <c r="J357" i="1" s="1"/>
  <c r="J367" i="1" s="1"/>
  <c r="D357" i="1"/>
  <c r="G357" i="1" s="1"/>
  <c r="H357" i="1" s="1"/>
  <c r="I343" i="1"/>
  <c r="J343" i="1" s="1"/>
  <c r="D343" i="1"/>
  <c r="F343" i="1" s="1"/>
  <c r="I342" i="1"/>
  <c r="J342" i="1" s="1"/>
  <c r="D342" i="1"/>
  <c r="F342" i="1" s="1"/>
  <c r="I341" i="1"/>
  <c r="J341" i="1" s="1"/>
  <c r="D341" i="1"/>
  <c r="G341" i="1" s="1"/>
  <c r="H341" i="1" s="1"/>
  <c r="D340" i="1"/>
  <c r="I340" i="1" s="1"/>
  <c r="J340" i="1" s="1"/>
  <c r="D339" i="1"/>
  <c r="I339" i="1" s="1"/>
  <c r="J339" i="1" s="1"/>
  <c r="D338" i="1"/>
  <c r="G338" i="1" s="1"/>
  <c r="H338" i="1" s="1"/>
  <c r="I337" i="1"/>
  <c r="J337" i="1" s="1"/>
  <c r="D337" i="1"/>
  <c r="F337" i="1" s="1"/>
  <c r="I336" i="1"/>
  <c r="J336" i="1" s="1"/>
  <c r="G336" i="1"/>
  <c r="H336" i="1" s="1"/>
  <c r="F336" i="1"/>
  <c r="D336" i="1"/>
  <c r="D335" i="1"/>
  <c r="G335" i="1" s="1"/>
  <c r="H335" i="1" s="1"/>
  <c r="I334" i="1"/>
  <c r="J334" i="1" s="1"/>
  <c r="F334" i="1"/>
  <c r="D334" i="1"/>
  <c r="G334" i="1" s="1"/>
  <c r="H334" i="1" s="1"/>
  <c r="D12" i="4"/>
  <c r="K12" i="4" s="1"/>
  <c r="I318" i="1"/>
  <c r="J318" i="1" s="1"/>
  <c r="G318" i="1"/>
  <c r="H318" i="1" s="1"/>
  <c r="F318" i="1"/>
  <c r="D318" i="1"/>
  <c r="I317" i="1"/>
  <c r="J317" i="1" s="1"/>
  <c r="D317" i="1"/>
  <c r="G317" i="1" s="1"/>
  <c r="H317" i="1" s="1"/>
  <c r="I316" i="1"/>
  <c r="J316" i="1" s="1"/>
  <c r="D316" i="1"/>
  <c r="G316" i="1" s="1"/>
  <c r="H316" i="1" s="1"/>
  <c r="D315" i="1"/>
  <c r="I315" i="1" s="1"/>
  <c r="J315" i="1" s="1"/>
  <c r="D314" i="1"/>
  <c r="G314" i="1" s="1"/>
  <c r="H314" i="1" s="1"/>
  <c r="D313" i="1"/>
  <c r="I313" i="1" s="1"/>
  <c r="J313" i="1" s="1"/>
  <c r="J312" i="1"/>
  <c r="I312" i="1"/>
  <c r="D312" i="1"/>
  <c r="G312" i="1" s="1"/>
  <c r="H312" i="1" s="1"/>
  <c r="I311" i="1"/>
  <c r="J311" i="1" s="1"/>
  <c r="G311" i="1"/>
  <c r="H311" i="1" s="1"/>
  <c r="F311" i="1"/>
  <c r="D311" i="1"/>
  <c r="G310" i="1"/>
  <c r="H310" i="1" s="1"/>
  <c r="D310" i="1"/>
  <c r="I310" i="1" s="1"/>
  <c r="J310" i="1" s="1"/>
  <c r="I309" i="1"/>
  <c r="J309" i="1" s="1"/>
  <c r="G309" i="1"/>
  <c r="H309" i="1" s="1"/>
  <c r="D309" i="1"/>
  <c r="F309" i="1" s="1"/>
  <c r="D11" i="4"/>
  <c r="D10" i="4"/>
  <c r="D9" i="4"/>
  <c r="I295" i="1"/>
  <c r="J295" i="1" s="1"/>
  <c r="D295" i="1"/>
  <c r="G295" i="1" s="1"/>
  <c r="H295" i="1" s="1"/>
  <c r="I294" i="1"/>
  <c r="J294" i="1" s="1"/>
  <c r="D294" i="1"/>
  <c r="G294" i="1" s="1"/>
  <c r="H294" i="1" s="1"/>
  <c r="I293" i="1"/>
  <c r="J293" i="1" s="1"/>
  <c r="D293" i="1"/>
  <c r="G293" i="1" s="1"/>
  <c r="H293" i="1" s="1"/>
  <c r="D292" i="1"/>
  <c r="I292" i="1" s="1"/>
  <c r="J292" i="1" s="1"/>
  <c r="D291" i="1"/>
  <c r="I291" i="1" s="1"/>
  <c r="J291" i="1" s="1"/>
  <c r="D290" i="1"/>
  <c r="G290" i="1" s="1"/>
  <c r="H290" i="1" s="1"/>
  <c r="I289" i="1"/>
  <c r="J289" i="1" s="1"/>
  <c r="D289" i="1"/>
  <c r="F289" i="1" s="1"/>
  <c r="I288" i="1"/>
  <c r="J288" i="1" s="1"/>
  <c r="G288" i="1"/>
  <c r="H288" i="1" s="1"/>
  <c r="F288" i="1"/>
  <c r="D288" i="1"/>
  <c r="D287" i="1"/>
  <c r="I287" i="1" s="1"/>
  <c r="J287" i="1" s="1"/>
  <c r="I286" i="1"/>
  <c r="J286" i="1" s="1"/>
  <c r="D286" i="1"/>
  <c r="F286" i="1" s="1"/>
  <c r="D8" i="4"/>
  <c r="I272" i="1"/>
  <c r="J272" i="1" s="1"/>
  <c r="G272" i="1"/>
  <c r="H272" i="1" s="1"/>
  <c r="D272" i="1"/>
  <c r="F272" i="1" s="1"/>
  <c r="J271" i="1"/>
  <c r="I271" i="1"/>
  <c r="D271" i="1"/>
  <c r="G271" i="1" s="1"/>
  <c r="H271" i="1" s="1"/>
  <c r="I270" i="1"/>
  <c r="J270" i="1" s="1"/>
  <c r="D270" i="1"/>
  <c r="F270" i="1" s="1"/>
  <c r="D269" i="1"/>
  <c r="I269" i="1" s="1"/>
  <c r="J269" i="1" s="1"/>
  <c r="D268" i="1"/>
  <c r="I268" i="1" s="1"/>
  <c r="J268" i="1" s="1"/>
  <c r="D267" i="1"/>
  <c r="I267" i="1" s="1"/>
  <c r="J267" i="1" s="1"/>
  <c r="I266" i="1"/>
  <c r="J266" i="1" s="1"/>
  <c r="D266" i="1"/>
  <c r="G266" i="1" s="1"/>
  <c r="H266" i="1" s="1"/>
  <c r="I265" i="1"/>
  <c r="J265" i="1" s="1"/>
  <c r="G265" i="1"/>
  <c r="H265" i="1" s="1"/>
  <c r="F265" i="1"/>
  <c r="D265" i="1"/>
  <c r="D264" i="1"/>
  <c r="I264" i="1" s="1"/>
  <c r="J264" i="1" s="1"/>
  <c r="I263" i="1"/>
  <c r="J263" i="1" s="1"/>
  <c r="J273" i="1" s="1"/>
  <c r="G263" i="1"/>
  <c r="H263" i="1" s="1"/>
  <c r="D263" i="1"/>
  <c r="F263" i="1" s="1"/>
  <c r="D7" i="4"/>
  <c r="F7" i="4" s="1"/>
  <c r="K20" i="4"/>
  <c r="K17" i="4"/>
  <c r="F17" i="4"/>
  <c r="K11" i="4"/>
  <c r="K10" i="4"/>
  <c r="F10" i="4"/>
  <c r="K7" i="4"/>
  <c r="O22" i="2"/>
  <c r="O15" i="2"/>
  <c r="K22" i="2"/>
  <c r="K21" i="2"/>
  <c r="K20" i="2"/>
  <c r="K19" i="2"/>
  <c r="F19" i="2"/>
  <c r="F20" i="2"/>
  <c r="F21" i="2"/>
  <c r="F22" i="2"/>
  <c r="D22" i="2"/>
  <c r="D21" i="2"/>
  <c r="I248" i="1"/>
  <c r="J248" i="1" s="1"/>
  <c r="D248" i="1"/>
  <c r="G248" i="1" s="1"/>
  <c r="H248" i="1" s="1"/>
  <c r="I247" i="1"/>
  <c r="J247" i="1" s="1"/>
  <c r="D247" i="1"/>
  <c r="G247" i="1" s="1"/>
  <c r="H247" i="1" s="1"/>
  <c r="I246" i="1"/>
  <c r="J246" i="1" s="1"/>
  <c r="D246" i="1"/>
  <c r="G246" i="1" s="1"/>
  <c r="H246" i="1" s="1"/>
  <c r="I245" i="1"/>
  <c r="J245" i="1" s="1"/>
  <c r="D245" i="1"/>
  <c r="F245" i="1" s="1"/>
  <c r="D244" i="1"/>
  <c r="G244" i="1" s="1"/>
  <c r="H244" i="1" s="1"/>
  <c r="G243" i="1"/>
  <c r="H243" i="1" s="1"/>
  <c r="D243" i="1"/>
  <c r="I243" i="1" s="1"/>
  <c r="J243" i="1" s="1"/>
  <c r="I242" i="1"/>
  <c r="J242" i="1" s="1"/>
  <c r="D242" i="1"/>
  <c r="F242" i="1" s="1"/>
  <c r="D241" i="1"/>
  <c r="F241" i="1" s="1"/>
  <c r="D240" i="1"/>
  <c r="I240" i="1" s="1"/>
  <c r="J240" i="1" s="1"/>
  <c r="I239" i="1"/>
  <c r="J239" i="1" s="1"/>
  <c r="G239" i="1"/>
  <c r="H239" i="1" s="1"/>
  <c r="D239" i="1"/>
  <c r="F239" i="1" s="1"/>
  <c r="D20" i="2"/>
  <c r="I225" i="1"/>
  <c r="J225" i="1" s="1"/>
  <c r="D225" i="1"/>
  <c r="G225" i="1" s="1"/>
  <c r="H225" i="1" s="1"/>
  <c r="I224" i="1"/>
  <c r="J224" i="1" s="1"/>
  <c r="D224" i="1"/>
  <c r="F224" i="1" s="1"/>
  <c r="I223" i="1"/>
  <c r="J223" i="1" s="1"/>
  <c r="D223" i="1"/>
  <c r="F223" i="1" s="1"/>
  <c r="D222" i="1"/>
  <c r="I222" i="1" s="1"/>
  <c r="J222" i="1" s="1"/>
  <c r="G221" i="1"/>
  <c r="H221" i="1" s="1"/>
  <c r="D221" i="1"/>
  <c r="I221" i="1" s="1"/>
  <c r="J221" i="1" s="1"/>
  <c r="D220" i="1"/>
  <c r="I220" i="1" s="1"/>
  <c r="J220" i="1" s="1"/>
  <c r="I219" i="1"/>
  <c r="J219" i="1" s="1"/>
  <c r="D219" i="1"/>
  <c r="G219" i="1" s="1"/>
  <c r="H219" i="1" s="1"/>
  <c r="I218" i="1"/>
  <c r="J218" i="1" s="1"/>
  <c r="G218" i="1"/>
  <c r="H218" i="1" s="1"/>
  <c r="F218" i="1"/>
  <c r="D218" i="1"/>
  <c r="I217" i="1"/>
  <c r="J217" i="1" s="1"/>
  <c r="G217" i="1"/>
  <c r="H217" i="1" s="1"/>
  <c r="F217" i="1"/>
  <c r="D217" i="1"/>
  <c r="I216" i="1"/>
  <c r="J216" i="1" s="1"/>
  <c r="J226" i="1" s="1"/>
  <c r="D216" i="1"/>
  <c r="F216" i="1" s="1"/>
  <c r="D19" i="2"/>
  <c r="D18" i="2"/>
  <c r="I202" i="1"/>
  <c r="J202" i="1" s="1"/>
  <c r="D202" i="1"/>
  <c r="F202" i="1" s="1"/>
  <c r="I201" i="1"/>
  <c r="J201" i="1" s="1"/>
  <c r="D201" i="1"/>
  <c r="F201" i="1" s="1"/>
  <c r="I200" i="1"/>
  <c r="J200" i="1" s="1"/>
  <c r="D200" i="1"/>
  <c r="G200" i="1" s="1"/>
  <c r="H200" i="1" s="1"/>
  <c r="D199" i="1"/>
  <c r="I199" i="1" s="1"/>
  <c r="J199" i="1" s="1"/>
  <c r="D198" i="1"/>
  <c r="G198" i="1" s="1"/>
  <c r="H198" i="1" s="1"/>
  <c r="D197" i="1"/>
  <c r="I197" i="1" s="1"/>
  <c r="J197" i="1" s="1"/>
  <c r="I196" i="1"/>
  <c r="J196" i="1" s="1"/>
  <c r="D196" i="1"/>
  <c r="G196" i="1" s="1"/>
  <c r="H196" i="1" s="1"/>
  <c r="I195" i="1"/>
  <c r="J195" i="1" s="1"/>
  <c r="G195" i="1"/>
  <c r="H195" i="1" s="1"/>
  <c r="F195" i="1"/>
  <c r="D195" i="1"/>
  <c r="D194" i="1"/>
  <c r="G194" i="1" s="1"/>
  <c r="H194" i="1" s="1"/>
  <c r="I193" i="1"/>
  <c r="J193" i="1" s="1"/>
  <c r="D193" i="1"/>
  <c r="F193" i="1" s="1"/>
  <c r="D17" i="2"/>
  <c r="I179" i="1"/>
  <c r="J179" i="1" s="1"/>
  <c r="D179" i="1"/>
  <c r="G179" i="1" s="1"/>
  <c r="H179" i="1" s="1"/>
  <c r="J178" i="1"/>
  <c r="I178" i="1"/>
  <c r="D178" i="1"/>
  <c r="G178" i="1" s="1"/>
  <c r="H178" i="1" s="1"/>
  <c r="I177" i="1"/>
  <c r="J177" i="1" s="1"/>
  <c r="D177" i="1"/>
  <c r="F177" i="1" s="1"/>
  <c r="I176" i="1"/>
  <c r="J176" i="1" s="1"/>
  <c r="D176" i="1"/>
  <c r="G176" i="1" s="1"/>
  <c r="H176" i="1" s="1"/>
  <c r="D175" i="1"/>
  <c r="I175" i="1" s="1"/>
  <c r="J175" i="1" s="1"/>
  <c r="D174" i="1"/>
  <c r="I174" i="1" s="1"/>
  <c r="J174" i="1" s="1"/>
  <c r="I173" i="1"/>
  <c r="J173" i="1" s="1"/>
  <c r="D173" i="1"/>
  <c r="F173" i="1" s="1"/>
  <c r="D172" i="1"/>
  <c r="F172" i="1" s="1"/>
  <c r="D171" i="1"/>
  <c r="G171" i="1" s="1"/>
  <c r="H171" i="1" s="1"/>
  <c r="I170" i="1"/>
  <c r="J170" i="1" s="1"/>
  <c r="G170" i="1"/>
  <c r="H170" i="1" s="1"/>
  <c r="F170" i="1"/>
  <c r="D170" i="1"/>
  <c r="D16" i="2"/>
  <c r="I155" i="1"/>
  <c r="J155" i="1" s="1"/>
  <c r="D155" i="1"/>
  <c r="G155" i="1" s="1"/>
  <c r="H155" i="1" s="1"/>
  <c r="J154" i="1"/>
  <c r="I154" i="1"/>
  <c r="D154" i="1"/>
  <c r="G154" i="1" s="1"/>
  <c r="H154" i="1" s="1"/>
  <c r="I153" i="1"/>
  <c r="J153" i="1" s="1"/>
  <c r="D153" i="1"/>
  <c r="F153" i="1" s="1"/>
  <c r="D152" i="1"/>
  <c r="I152" i="1" s="1"/>
  <c r="J152" i="1" s="1"/>
  <c r="D151" i="1"/>
  <c r="I151" i="1" s="1"/>
  <c r="J151" i="1" s="1"/>
  <c r="D150" i="1"/>
  <c r="I150" i="1" s="1"/>
  <c r="J150" i="1" s="1"/>
  <c r="I149" i="1"/>
  <c r="J149" i="1" s="1"/>
  <c r="G149" i="1"/>
  <c r="H149" i="1" s="1"/>
  <c r="D149" i="1"/>
  <c r="F149" i="1" s="1"/>
  <c r="I148" i="1"/>
  <c r="J148" i="1" s="1"/>
  <c r="G148" i="1"/>
  <c r="H148" i="1" s="1"/>
  <c r="F148" i="1"/>
  <c r="D148" i="1"/>
  <c r="D147" i="1"/>
  <c r="I147" i="1" s="1"/>
  <c r="J147" i="1" s="1"/>
  <c r="I146" i="1"/>
  <c r="J146" i="1" s="1"/>
  <c r="D146" i="1"/>
  <c r="G146" i="1" s="1"/>
  <c r="H146" i="1" s="1"/>
  <c r="D15" i="2"/>
  <c r="D14" i="2"/>
  <c r="D13" i="2"/>
  <c r="I132" i="1"/>
  <c r="J132" i="1" s="1"/>
  <c r="F132" i="1"/>
  <c r="D132" i="1"/>
  <c r="G132" i="1" s="1"/>
  <c r="H132" i="1" s="1"/>
  <c r="I131" i="1"/>
  <c r="J131" i="1" s="1"/>
  <c r="D131" i="1"/>
  <c r="G131" i="1" s="1"/>
  <c r="H131" i="1" s="1"/>
  <c r="I130" i="1"/>
  <c r="J130" i="1" s="1"/>
  <c r="D130" i="1"/>
  <c r="G130" i="1" s="1"/>
  <c r="H130" i="1" s="1"/>
  <c r="D129" i="1"/>
  <c r="I129" i="1" s="1"/>
  <c r="J129" i="1" s="1"/>
  <c r="D128" i="1"/>
  <c r="I128" i="1" s="1"/>
  <c r="J128" i="1" s="1"/>
  <c r="D127" i="1"/>
  <c r="G127" i="1" s="1"/>
  <c r="H127" i="1" s="1"/>
  <c r="I126" i="1"/>
  <c r="J126" i="1" s="1"/>
  <c r="D126" i="1"/>
  <c r="G126" i="1" s="1"/>
  <c r="H126" i="1" s="1"/>
  <c r="I125" i="1"/>
  <c r="J125" i="1" s="1"/>
  <c r="G125" i="1"/>
  <c r="H125" i="1" s="1"/>
  <c r="F125" i="1"/>
  <c r="D125" i="1"/>
  <c r="G124" i="1"/>
  <c r="H124" i="1" s="1"/>
  <c r="D124" i="1"/>
  <c r="I124" i="1" s="1"/>
  <c r="J124" i="1" s="1"/>
  <c r="I123" i="1"/>
  <c r="J123" i="1" s="1"/>
  <c r="D123" i="1"/>
  <c r="G123" i="1" s="1"/>
  <c r="H123" i="1" s="1"/>
  <c r="D12" i="2"/>
  <c r="I109" i="1"/>
  <c r="J109" i="1" s="1"/>
  <c r="D109" i="1"/>
  <c r="G109" i="1" s="1"/>
  <c r="H109" i="1" s="1"/>
  <c r="I108" i="1"/>
  <c r="J108" i="1" s="1"/>
  <c r="D108" i="1"/>
  <c r="G108" i="1" s="1"/>
  <c r="H108" i="1" s="1"/>
  <c r="I107" i="1"/>
  <c r="J107" i="1" s="1"/>
  <c r="D107" i="1"/>
  <c r="G107" i="1" s="1"/>
  <c r="H107" i="1" s="1"/>
  <c r="D106" i="1"/>
  <c r="I106" i="1" s="1"/>
  <c r="J106" i="1" s="1"/>
  <c r="D105" i="1"/>
  <c r="I105" i="1" s="1"/>
  <c r="J105" i="1" s="1"/>
  <c r="D104" i="1"/>
  <c r="G104" i="1" s="1"/>
  <c r="H104" i="1" s="1"/>
  <c r="I103" i="1"/>
  <c r="J103" i="1" s="1"/>
  <c r="D103" i="1"/>
  <c r="G103" i="1" s="1"/>
  <c r="H103" i="1" s="1"/>
  <c r="I102" i="1"/>
  <c r="J102" i="1" s="1"/>
  <c r="G102" i="1"/>
  <c r="H102" i="1" s="1"/>
  <c r="F102" i="1"/>
  <c r="D102" i="1"/>
  <c r="D101" i="1"/>
  <c r="F101" i="1" s="1"/>
  <c r="J100" i="1"/>
  <c r="I100" i="1"/>
  <c r="G100" i="1"/>
  <c r="H100" i="1" s="1"/>
  <c r="F100" i="1"/>
  <c r="D100" i="1"/>
  <c r="D11" i="2"/>
  <c r="I86" i="1"/>
  <c r="J86" i="1" s="1"/>
  <c r="D86" i="1"/>
  <c r="G86" i="1" s="1"/>
  <c r="H86" i="1" s="1"/>
  <c r="I85" i="1"/>
  <c r="J85" i="1" s="1"/>
  <c r="D85" i="1"/>
  <c r="G85" i="1" s="1"/>
  <c r="H85" i="1" s="1"/>
  <c r="I84" i="1"/>
  <c r="J84" i="1" s="1"/>
  <c r="D84" i="1"/>
  <c r="G84" i="1" s="1"/>
  <c r="H84" i="1" s="1"/>
  <c r="D83" i="1"/>
  <c r="I83" i="1" s="1"/>
  <c r="J83" i="1" s="1"/>
  <c r="D82" i="1"/>
  <c r="I82" i="1" s="1"/>
  <c r="J82" i="1" s="1"/>
  <c r="D81" i="1"/>
  <c r="I81" i="1" s="1"/>
  <c r="J81" i="1" s="1"/>
  <c r="I80" i="1"/>
  <c r="J80" i="1" s="1"/>
  <c r="D80" i="1"/>
  <c r="F80" i="1" s="1"/>
  <c r="I79" i="1"/>
  <c r="J79" i="1" s="1"/>
  <c r="G79" i="1"/>
  <c r="H79" i="1" s="1"/>
  <c r="F79" i="1"/>
  <c r="D79" i="1"/>
  <c r="D78" i="1"/>
  <c r="G78" i="1" s="1"/>
  <c r="H78" i="1" s="1"/>
  <c r="I77" i="1"/>
  <c r="J77" i="1" s="1"/>
  <c r="D77" i="1"/>
  <c r="G77" i="1" s="1"/>
  <c r="H77" i="1" s="1"/>
  <c r="D10" i="2"/>
  <c r="I63" i="1"/>
  <c r="J63" i="1" s="1"/>
  <c r="D63" i="1"/>
  <c r="G63" i="1" s="1"/>
  <c r="H63" i="1" s="1"/>
  <c r="I62" i="1"/>
  <c r="J62" i="1" s="1"/>
  <c r="D62" i="1"/>
  <c r="G62" i="1" s="1"/>
  <c r="H62" i="1" s="1"/>
  <c r="I61" i="1"/>
  <c r="J61" i="1" s="1"/>
  <c r="D61" i="1"/>
  <c r="G61" i="1" s="1"/>
  <c r="H61" i="1" s="1"/>
  <c r="D60" i="1"/>
  <c r="I60" i="1" s="1"/>
  <c r="J60" i="1" s="1"/>
  <c r="D59" i="1"/>
  <c r="G59" i="1" s="1"/>
  <c r="H59" i="1" s="1"/>
  <c r="D58" i="1"/>
  <c r="I58" i="1" s="1"/>
  <c r="J58" i="1" s="1"/>
  <c r="I57" i="1"/>
  <c r="J57" i="1" s="1"/>
  <c r="D57" i="1"/>
  <c r="G57" i="1" s="1"/>
  <c r="H57" i="1" s="1"/>
  <c r="I56" i="1"/>
  <c r="J56" i="1" s="1"/>
  <c r="G56" i="1"/>
  <c r="H56" i="1" s="1"/>
  <c r="F56" i="1"/>
  <c r="D56" i="1"/>
  <c r="D55" i="1"/>
  <c r="I55" i="1" s="1"/>
  <c r="J55" i="1" s="1"/>
  <c r="I54" i="1"/>
  <c r="J54" i="1" s="1"/>
  <c r="D54" i="1"/>
  <c r="G54" i="1" s="1"/>
  <c r="H54" i="1" s="1"/>
  <c r="D9" i="2"/>
  <c r="D8" i="2"/>
  <c r="I39" i="1"/>
  <c r="J39" i="1" s="1"/>
  <c r="D39" i="1"/>
  <c r="G39" i="1" s="1"/>
  <c r="H39" i="1" s="1"/>
  <c r="I38" i="1"/>
  <c r="J38" i="1" s="1"/>
  <c r="D38" i="1"/>
  <c r="G38" i="1" s="1"/>
  <c r="H38" i="1" s="1"/>
  <c r="I37" i="1"/>
  <c r="J37" i="1" s="1"/>
  <c r="D37" i="1"/>
  <c r="G37" i="1" s="1"/>
  <c r="H37" i="1" s="1"/>
  <c r="D36" i="1"/>
  <c r="I36" i="1" s="1"/>
  <c r="J36" i="1" s="1"/>
  <c r="D35" i="1"/>
  <c r="I35" i="1" s="1"/>
  <c r="J35" i="1" s="1"/>
  <c r="D34" i="1"/>
  <c r="I34" i="1" s="1"/>
  <c r="J34" i="1" s="1"/>
  <c r="I33" i="1"/>
  <c r="J33" i="1" s="1"/>
  <c r="D33" i="1"/>
  <c r="G33" i="1" s="1"/>
  <c r="H33" i="1" s="1"/>
  <c r="D32" i="1"/>
  <c r="I32" i="1" s="1"/>
  <c r="J32" i="1" s="1"/>
  <c r="D31" i="1"/>
  <c r="G31" i="1" s="1"/>
  <c r="H31" i="1" s="1"/>
  <c r="I30" i="1"/>
  <c r="J30" i="1" s="1"/>
  <c r="D30" i="1"/>
  <c r="G30" i="1" s="1"/>
  <c r="H30" i="1" s="1"/>
  <c r="D7" i="2"/>
  <c r="G8" i="1"/>
  <c r="G11" i="1"/>
  <c r="G14" i="1"/>
  <c r="G15" i="1"/>
  <c r="G16" i="1"/>
  <c r="D8" i="1"/>
  <c r="I8" i="1" s="1"/>
  <c r="D9" i="1"/>
  <c r="G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7" i="1"/>
  <c r="G7" i="1" s="1"/>
  <c r="I14" i="1"/>
  <c r="J14" i="1" s="1"/>
  <c r="I15" i="1"/>
  <c r="J15" i="1" s="1"/>
  <c r="J488" i="1" l="1"/>
  <c r="J487" i="1"/>
  <c r="F483" i="1"/>
  <c r="F484" i="1"/>
  <c r="F480" i="1"/>
  <c r="G480" i="1"/>
  <c r="H480" i="1" s="1"/>
  <c r="F481" i="1"/>
  <c r="F482" i="1"/>
  <c r="F479" i="1"/>
  <c r="F476" i="1"/>
  <c r="F477" i="1"/>
  <c r="G477" i="1"/>
  <c r="H477" i="1" s="1"/>
  <c r="H486" i="1" s="1"/>
  <c r="G481" i="1"/>
  <c r="H481" i="1" s="1"/>
  <c r="G482" i="1"/>
  <c r="H482" i="1" s="1"/>
  <c r="F458" i="1"/>
  <c r="F460" i="1"/>
  <c r="F462" i="1"/>
  <c r="I457" i="1"/>
  <c r="J457" i="1" s="1"/>
  <c r="J463" i="1" s="1"/>
  <c r="G453" i="1"/>
  <c r="H453" i="1" s="1"/>
  <c r="G458" i="1"/>
  <c r="H458" i="1" s="1"/>
  <c r="F454" i="1"/>
  <c r="F463" i="1" s="1"/>
  <c r="G454" i="1"/>
  <c r="H454" i="1" s="1"/>
  <c r="G456" i="1"/>
  <c r="H456" i="1" s="1"/>
  <c r="F461" i="1"/>
  <c r="F457" i="1"/>
  <c r="J441" i="1"/>
  <c r="J440" i="1"/>
  <c r="G432" i="1"/>
  <c r="H432" i="1" s="1"/>
  <c r="F437" i="1"/>
  <c r="F433" i="1"/>
  <c r="F429" i="1"/>
  <c r="G434" i="1"/>
  <c r="H434" i="1" s="1"/>
  <c r="F430" i="1"/>
  <c r="F435" i="1"/>
  <c r="G436" i="1"/>
  <c r="H436" i="1" s="1"/>
  <c r="G433" i="1"/>
  <c r="H433" i="1" s="1"/>
  <c r="G430" i="1"/>
  <c r="H430" i="1" s="1"/>
  <c r="H439" i="1" s="1"/>
  <c r="G435" i="1"/>
  <c r="H435" i="1" s="1"/>
  <c r="F438" i="1"/>
  <c r="F434" i="1"/>
  <c r="F410" i="1"/>
  <c r="G409" i="1"/>
  <c r="H409" i="1" s="1"/>
  <c r="I409" i="1"/>
  <c r="J409" i="1" s="1"/>
  <c r="J415" i="1" s="1"/>
  <c r="G405" i="1"/>
  <c r="H405" i="1" s="1"/>
  <c r="I410" i="1"/>
  <c r="J410" i="1" s="1"/>
  <c r="F406" i="1"/>
  <c r="F415" i="1" s="1"/>
  <c r="F414" i="1"/>
  <c r="F411" i="1"/>
  <c r="G406" i="1"/>
  <c r="H406" i="1" s="1"/>
  <c r="G411" i="1"/>
  <c r="H411" i="1" s="1"/>
  <c r="G413" i="1"/>
  <c r="H413" i="1" s="1"/>
  <c r="F388" i="1"/>
  <c r="G389" i="1"/>
  <c r="H389" i="1" s="1"/>
  <c r="F386" i="1"/>
  <c r="I386" i="1"/>
  <c r="J386" i="1" s="1"/>
  <c r="F382" i="1"/>
  <c r="F391" i="1" s="1"/>
  <c r="G384" i="1"/>
  <c r="H384" i="1" s="1"/>
  <c r="G390" i="1"/>
  <c r="H390" i="1" s="1"/>
  <c r="G381" i="1"/>
  <c r="H381" i="1" s="1"/>
  <c r="F387" i="1"/>
  <c r="I382" i="1"/>
  <c r="J382" i="1" s="1"/>
  <c r="J391" i="1" s="1"/>
  <c r="G387" i="1"/>
  <c r="H387" i="1" s="1"/>
  <c r="G385" i="1"/>
  <c r="H385" i="1" s="1"/>
  <c r="F385" i="1"/>
  <c r="J369" i="1"/>
  <c r="J368" i="1"/>
  <c r="F364" i="1"/>
  <c r="F365" i="1"/>
  <c r="G361" i="1"/>
  <c r="H361" i="1" s="1"/>
  <c r="H367" i="1" s="1"/>
  <c r="G366" i="1"/>
  <c r="H366" i="1" s="1"/>
  <c r="F357" i="1"/>
  <c r="F362" i="1"/>
  <c r="G362" i="1"/>
  <c r="H362" i="1" s="1"/>
  <c r="F358" i="1"/>
  <c r="F360" i="1"/>
  <c r="F361" i="1"/>
  <c r="F363" i="1"/>
  <c r="G363" i="1"/>
  <c r="H363" i="1" s="1"/>
  <c r="F341" i="1"/>
  <c r="I338" i="1"/>
  <c r="J338" i="1" s="1"/>
  <c r="G343" i="1"/>
  <c r="H343" i="1" s="1"/>
  <c r="G337" i="1"/>
  <c r="H337" i="1" s="1"/>
  <c r="H344" i="1" s="1"/>
  <c r="G342" i="1"/>
  <c r="H342" i="1" s="1"/>
  <c r="F338" i="1"/>
  <c r="F339" i="1"/>
  <c r="G339" i="1"/>
  <c r="H339" i="1" s="1"/>
  <c r="F335" i="1"/>
  <c r="F344" i="1" s="1"/>
  <c r="F340" i="1"/>
  <c r="I335" i="1"/>
  <c r="J335" i="1" s="1"/>
  <c r="J344" i="1" s="1"/>
  <c r="G340" i="1"/>
  <c r="H340" i="1" s="1"/>
  <c r="G313" i="1"/>
  <c r="H313" i="1" s="1"/>
  <c r="H319" i="1" s="1"/>
  <c r="F313" i="1"/>
  <c r="F312" i="1"/>
  <c r="F317" i="1"/>
  <c r="I314" i="1"/>
  <c r="J314" i="1" s="1"/>
  <c r="J319" i="1" s="1"/>
  <c r="F310" i="1"/>
  <c r="F319" i="1" s="1"/>
  <c r="F316" i="1"/>
  <c r="F314" i="1"/>
  <c r="F315" i="1"/>
  <c r="G315" i="1"/>
  <c r="H315" i="1" s="1"/>
  <c r="F295" i="1"/>
  <c r="G289" i="1"/>
  <c r="H289" i="1" s="1"/>
  <c r="I290" i="1"/>
  <c r="J290" i="1" s="1"/>
  <c r="J296" i="1" s="1"/>
  <c r="G286" i="1"/>
  <c r="H286" i="1" s="1"/>
  <c r="F293" i="1"/>
  <c r="F294" i="1"/>
  <c r="F290" i="1"/>
  <c r="F291" i="1"/>
  <c r="G291" i="1"/>
  <c r="H291" i="1" s="1"/>
  <c r="F287" i="1"/>
  <c r="G287" i="1"/>
  <c r="H287" i="1" s="1"/>
  <c r="F292" i="1"/>
  <c r="G292" i="1"/>
  <c r="H292" i="1" s="1"/>
  <c r="J275" i="1"/>
  <c r="J274" i="1"/>
  <c r="G270" i="1"/>
  <c r="H270" i="1" s="1"/>
  <c r="G268" i="1"/>
  <c r="H268" i="1" s="1"/>
  <c r="F264" i="1"/>
  <c r="F266" i="1"/>
  <c r="F271" i="1"/>
  <c r="F267" i="1"/>
  <c r="G267" i="1"/>
  <c r="H267" i="1" s="1"/>
  <c r="G264" i="1"/>
  <c r="H264" i="1" s="1"/>
  <c r="H273" i="1" s="1"/>
  <c r="F269" i="1"/>
  <c r="G269" i="1"/>
  <c r="H269" i="1" s="1"/>
  <c r="F268" i="1"/>
  <c r="K9" i="4"/>
  <c r="F9" i="4"/>
  <c r="K15" i="4"/>
  <c r="F15" i="4"/>
  <c r="K19" i="4"/>
  <c r="F19" i="4"/>
  <c r="K22" i="4"/>
  <c r="F22" i="4"/>
  <c r="F14" i="4"/>
  <c r="K14" i="4"/>
  <c r="F16" i="4"/>
  <c r="F8" i="4"/>
  <c r="K8" i="4"/>
  <c r="F18" i="4"/>
  <c r="K18" i="4"/>
  <c r="F11" i="4"/>
  <c r="F20" i="4"/>
  <c r="F21" i="4"/>
  <c r="K21" i="4"/>
  <c r="F12" i="4"/>
  <c r="G241" i="1"/>
  <c r="H241" i="1" s="1"/>
  <c r="I241" i="1"/>
  <c r="J241" i="1" s="1"/>
  <c r="J249" i="1" s="1"/>
  <c r="G242" i="1"/>
  <c r="H242" i="1" s="1"/>
  <c r="F247" i="1"/>
  <c r="F243" i="1"/>
  <c r="F246" i="1"/>
  <c r="F248" i="1"/>
  <c r="I244" i="1"/>
  <c r="J244" i="1" s="1"/>
  <c r="F240" i="1"/>
  <c r="F249" i="1" s="1"/>
  <c r="F244" i="1"/>
  <c r="G240" i="1"/>
  <c r="H240" i="1" s="1"/>
  <c r="G245" i="1"/>
  <c r="H245" i="1" s="1"/>
  <c r="J228" i="1"/>
  <c r="J227" i="1"/>
  <c r="G223" i="1"/>
  <c r="H223" i="1" s="1"/>
  <c r="G224" i="1"/>
  <c r="H224" i="1" s="1"/>
  <c r="F225" i="1"/>
  <c r="G216" i="1"/>
  <c r="H216" i="1" s="1"/>
  <c r="F221" i="1"/>
  <c r="F219" i="1"/>
  <c r="F226" i="1" s="1"/>
  <c r="F220" i="1"/>
  <c r="G220" i="1"/>
  <c r="H220" i="1" s="1"/>
  <c r="F222" i="1"/>
  <c r="G222" i="1"/>
  <c r="H222" i="1" s="1"/>
  <c r="F196" i="1"/>
  <c r="F200" i="1"/>
  <c r="G201" i="1"/>
  <c r="H201" i="1" s="1"/>
  <c r="F197" i="1"/>
  <c r="G197" i="1"/>
  <c r="H197" i="1" s="1"/>
  <c r="G202" i="1"/>
  <c r="H202" i="1" s="1"/>
  <c r="G193" i="1"/>
  <c r="H193" i="1" s="1"/>
  <c r="I198" i="1"/>
  <c r="J198" i="1" s="1"/>
  <c r="F199" i="1"/>
  <c r="I194" i="1"/>
  <c r="J194" i="1" s="1"/>
  <c r="J203" i="1" s="1"/>
  <c r="G199" i="1"/>
  <c r="H199" i="1" s="1"/>
  <c r="F198" i="1"/>
  <c r="F194" i="1"/>
  <c r="F203" i="1" s="1"/>
  <c r="G172" i="1"/>
  <c r="H172" i="1" s="1"/>
  <c r="H180" i="1" s="1"/>
  <c r="I172" i="1"/>
  <c r="J172" i="1" s="1"/>
  <c r="G173" i="1"/>
  <c r="H173" i="1" s="1"/>
  <c r="F178" i="1"/>
  <c r="F174" i="1"/>
  <c r="G174" i="1"/>
  <c r="H174" i="1" s="1"/>
  <c r="F179" i="1"/>
  <c r="G177" i="1"/>
  <c r="H177" i="1" s="1"/>
  <c r="F175" i="1"/>
  <c r="F176" i="1"/>
  <c r="I171" i="1"/>
  <c r="J171" i="1" s="1"/>
  <c r="G175" i="1"/>
  <c r="H175" i="1" s="1"/>
  <c r="F171" i="1"/>
  <c r="F180" i="1" s="1"/>
  <c r="J156" i="1"/>
  <c r="J158" i="1" s="1"/>
  <c r="G153" i="1"/>
  <c r="H153" i="1" s="1"/>
  <c r="F154" i="1"/>
  <c r="F150" i="1"/>
  <c r="G150" i="1"/>
  <c r="H150" i="1" s="1"/>
  <c r="F155" i="1"/>
  <c r="F146" i="1"/>
  <c r="F151" i="1"/>
  <c r="G151" i="1"/>
  <c r="H151" i="1" s="1"/>
  <c r="F147" i="1"/>
  <c r="G147" i="1"/>
  <c r="H147" i="1" s="1"/>
  <c r="H156" i="1" s="1"/>
  <c r="F152" i="1"/>
  <c r="G152" i="1"/>
  <c r="H152" i="1" s="1"/>
  <c r="F126" i="1"/>
  <c r="F131" i="1"/>
  <c r="I127" i="1"/>
  <c r="J127" i="1" s="1"/>
  <c r="J133" i="1" s="1"/>
  <c r="F128" i="1"/>
  <c r="G128" i="1"/>
  <c r="H128" i="1" s="1"/>
  <c r="H133" i="1" s="1"/>
  <c r="F124" i="1"/>
  <c r="F130" i="1"/>
  <c r="F129" i="1"/>
  <c r="F127" i="1"/>
  <c r="F123" i="1"/>
  <c r="F133" i="1" s="1"/>
  <c r="G129" i="1"/>
  <c r="H129" i="1" s="1"/>
  <c r="F107" i="1"/>
  <c r="F103" i="1"/>
  <c r="F109" i="1"/>
  <c r="I104" i="1"/>
  <c r="J104" i="1" s="1"/>
  <c r="F105" i="1"/>
  <c r="G105" i="1"/>
  <c r="H105" i="1" s="1"/>
  <c r="G101" i="1"/>
  <c r="H101" i="1" s="1"/>
  <c r="H110" i="1" s="1"/>
  <c r="F106" i="1"/>
  <c r="I101" i="1"/>
  <c r="J101" i="1" s="1"/>
  <c r="J110" i="1" s="1"/>
  <c r="G106" i="1"/>
  <c r="H106" i="1" s="1"/>
  <c r="F108" i="1"/>
  <c r="F104" i="1"/>
  <c r="G80" i="1"/>
  <c r="H80" i="1" s="1"/>
  <c r="F86" i="1"/>
  <c r="F83" i="1"/>
  <c r="I78" i="1"/>
  <c r="J78" i="1" s="1"/>
  <c r="J87" i="1" s="1"/>
  <c r="G83" i="1"/>
  <c r="H83" i="1" s="1"/>
  <c r="F84" i="1"/>
  <c r="F85" i="1"/>
  <c r="F81" i="1"/>
  <c r="G81" i="1"/>
  <c r="H81" i="1" s="1"/>
  <c r="F77" i="1"/>
  <c r="F82" i="1"/>
  <c r="G82" i="1"/>
  <c r="H82" i="1" s="1"/>
  <c r="F78" i="1"/>
  <c r="F61" i="1"/>
  <c r="G58" i="1"/>
  <c r="H58" i="1" s="1"/>
  <c r="I59" i="1"/>
  <c r="J59" i="1" s="1"/>
  <c r="J64" i="1" s="1"/>
  <c r="F55" i="1"/>
  <c r="F57" i="1"/>
  <c r="F62" i="1"/>
  <c r="F58" i="1"/>
  <c r="F63" i="1"/>
  <c r="F54" i="1"/>
  <c r="F59" i="1"/>
  <c r="G55" i="1"/>
  <c r="H55" i="1" s="1"/>
  <c r="F60" i="1"/>
  <c r="G60" i="1"/>
  <c r="H60" i="1" s="1"/>
  <c r="F36" i="1"/>
  <c r="I31" i="1"/>
  <c r="J31" i="1" s="1"/>
  <c r="J40" i="1" s="1"/>
  <c r="G36" i="1"/>
  <c r="H36" i="1" s="1"/>
  <c r="F32" i="1"/>
  <c r="G32" i="1"/>
  <c r="H32" i="1" s="1"/>
  <c r="H40" i="1" s="1"/>
  <c r="F37" i="1"/>
  <c r="F31" i="1"/>
  <c r="F33" i="1"/>
  <c r="F38" i="1"/>
  <c r="F34" i="1"/>
  <c r="G34" i="1"/>
  <c r="H34" i="1" s="1"/>
  <c r="F39" i="1"/>
  <c r="F30" i="1"/>
  <c r="F40" i="1" s="1"/>
  <c r="F35" i="1"/>
  <c r="G35" i="1"/>
  <c r="H35" i="1" s="1"/>
  <c r="G13" i="1"/>
  <c r="G12" i="1"/>
  <c r="G10" i="1"/>
  <c r="H10" i="1" s="1"/>
  <c r="I13" i="1"/>
  <c r="J13" i="1" s="1"/>
  <c r="I12" i="1"/>
  <c r="J12" i="1" s="1"/>
  <c r="I11" i="1"/>
  <c r="J11" i="1" s="1"/>
  <c r="I10" i="1"/>
  <c r="J10" i="1" s="1"/>
  <c r="F9" i="1"/>
  <c r="J8" i="1"/>
  <c r="F7" i="1"/>
  <c r="F8" i="1"/>
  <c r="H8" i="1"/>
  <c r="H16" i="1"/>
  <c r="H15" i="1"/>
  <c r="H14" i="1"/>
  <c r="H13" i="1"/>
  <c r="H12" i="1"/>
  <c r="H11" i="1"/>
  <c r="H9" i="1"/>
  <c r="I16" i="1"/>
  <c r="J16" i="1" s="1"/>
  <c r="I9" i="1"/>
  <c r="J9" i="1" s="1"/>
  <c r="H7" i="1"/>
  <c r="I7" i="1"/>
  <c r="J7" i="1" s="1"/>
  <c r="H488" i="1" l="1"/>
  <c r="H487" i="1"/>
  <c r="F486" i="1"/>
  <c r="F465" i="1"/>
  <c r="F464" i="1"/>
  <c r="J465" i="1"/>
  <c r="J464" i="1"/>
  <c r="H463" i="1"/>
  <c r="H441" i="1"/>
  <c r="H440" i="1"/>
  <c r="F439" i="1"/>
  <c r="F417" i="1"/>
  <c r="F416" i="1"/>
  <c r="J417" i="1"/>
  <c r="J416" i="1"/>
  <c r="H415" i="1"/>
  <c r="J393" i="1"/>
  <c r="J392" i="1"/>
  <c r="F393" i="1"/>
  <c r="F392" i="1"/>
  <c r="H391" i="1"/>
  <c r="H369" i="1"/>
  <c r="H368" i="1"/>
  <c r="F367" i="1"/>
  <c r="J346" i="1"/>
  <c r="J345" i="1"/>
  <c r="D13" i="4" s="1"/>
  <c r="F345" i="1"/>
  <c r="F346" i="1"/>
  <c r="H345" i="1"/>
  <c r="H346" i="1"/>
  <c r="F321" i="1"/>
  <c r="F320" i="1"/>
  <c r="J321" i="1"/>
  <c r="J320" i="1"/>
  <c r="H321" i="1"/>
  <c r="H320" i="1"/>
  <c r="F296" i="1"/>
  <c r="F297" i="1"/>
  <c r="F298" i="1"/>
  <c r="J298" i="1"/>
  <c r="J297" i="1"/>
  <c r="H296" i="1"/>
  <c r="F273" i="1"/>
  <c r="F275" i="1" s="1"/>
  <c r="H275" i="1"/>
  <c r="H274" i="1"/>
  <c r="H249" i="1"/>
  <c r="H251" i="1"/>
  <c r="H250" i="1"/>
  <c r="F251" i="1"/>
  <c r="F250" i="1"/>
  <c r="J251" i="1"/>
  <c r="J250" i="1"/>
  <c r="F228" i="1"/>
  <c r="F227" i="1"/>
  <c r="H226" i="1"/>
  <c r="F205" i="1"/>
  <c r="F204" i="1"/>
  <c r="H203" i="1"/>
  <c r="J205" i="1"/>
  <c r="J204" i="1"/>
  <c r="J180" i="1"/>
  <c r="F181" i="1"/>
  <c r="F182" i="1"/>
  <c r="J181" i="1"/>
  <c r="J182" i="1"/>
  <c r="H182" i="1"/>
  <c r="H181" i="1"/>
  <c r="J157" i="1"/>
  <c r="H157" i="1"/>
  <c r="H158" i="1"/>
  <c r="F156" i="1"/>
  <c r="H135" i="1"/>
  <c r="H134" i="1"/>
  <c r="J135" i="1"/>
  <c r="J134" i="1"/>
  <c r="F135" i="1"/>
  <c r="F134" i="1"/>
  <c r="F110" i="1"/>
  <c r="F112" i="1"/>
  <c r="F111" i="1"/>
  <c r="H112" i="1"/>
  <c r="H111" i="1"/>
  <c r="J112" i="1"/>
  <c r="J111" i="1"/>
  <c r="H87" i="1"/>
  <c r="J89" i="1"/>
  <c r="J88" i="1"/>
  <c r="H89" i="1"/>
  <c r="H88" i="1"/>
  <c r="F87" i="1"/>
  <c r="H64" i="1"/>
  <c r="J66" i="1"/>
  <c r="J65" i="1"/>
  <c r="F64" i="1"/>
  <c r="H66" i="1"/>
  <c r="H65" i="1"/>
  <c r="H42" i="1"/>
  <c r="H41" i="1"/>
  <c r="J42" i="1"/>
  <c r="J41" i="1"/>
  <c r="F42" i="1"/>
  <c r="F41" i="1"/>
  <c r="H17" i="1"/>
  <c r="J17" i="1"/>
  <c r="F17" i="1"/>
  <c r="F487" i="1" l="1"/>
  <c r="F488" i="1"/>
  <c r="H465" i="1"/>
  <c r="H464" i="1"/>
  <c r="F441" i="1"/>
  <c r="F440" i="1"/>
  <c r="H417" i="1"/>
  <c r="H416" i="1"/>
  <c r="H393" i="1"/>
  <c r="H392" i="1"/>
  <c r="K13" i="4"/>
  <c r="F13" i="4"/>
  <c r="F369" i="1"/>
  <c r="F368" i="1"/>
  <c r="H297" i="1"/>
  <c r="H298" i="1"/>
  <c r="F274" i="1"/>
  <c r="H228" i="1"/>
  <c r="H227" i="1"/>
  <c r="H205" i="1"/>
  <c r="H204" i="1"/>
  <c r="F158" i="1"/>
  <c r="F157" i="1"/>
  <c r="F88" i="1"/>
  <c r="F89" i="1"/>
  <c r="F66" i="1"/>
  <c r="F65" i="1"/>
  <c r="J19" i="1"/>
  <c r="J18" i="1"/>
  <c r="H19" i="1"/>
  <c r="H18" i="1"/>
  <c r="F19" i="1"/>
  <c r="F18" i="1"/>
  <c r="F16" i="2" s="1"/>
  <c r="K10" i="2" l="1"/>
  <c r="K14" i="2"/>
  <c r="K15" i="2"/>
  <c r="K8" i="2"/>
  <c r="K7" i="2"/>
  <c r="F11" i="2"/>
  <c r="F12" i="2"/>
  <c r="K17" i="2"/>
  <c r="F18" i="2"/>
  <c r="K9" i="2"/>
  <c r="K13" i="2"/>
  <c r="F17" i="2"/>
  <c r="K16" i="2"/>
  <c r="K18" i="2" l="1"/>
  <c r="F13" i="2"/>
  <c r="K12" i="2"/>
  <c r="K11" i="2"/>
  <c r="F15" i="2"/>
  <c r="F14" i="2"/>
  <c r="F10" i="2"/>
  <c r="F9" i="2"/>
  <c r="F7" i="2"/>
  <c r="F8" i="2"/>
</calcChain>
</file>

<file path=xl/sharedStrings.xml><?xml version="1.0" encoding="utf-8"?>
<sst xmlns="http://schemas.openxmlformats.org/spreadsheetml/2006/main" count="1055" uniqueCount="95">
  <si>
    <t>Pieza</t>
  </si>
  <si>
    <t>TOTAL</t>
  </si>
  <si>
    <t>Caudal probable</t>
  </si>
  <si>
    <t>TRAMO</t>
  </si>
  <si>
    <t>Longitud</t>
  </si>
  <si>
    <t>Caudal</t>
  </si>
  <si>
    <t>Velocidad</t>
  </si>
  <si>
    <t>Diam</t>
  </si>
  <si>
    <t>SDR</t>
  </si>
  <si>
    <t>Tramos</t>
  </si>
  <si>
    <t>Ruta</t>
  </si>
  <si>
    <t>inter</t>
  </si>
  <si>
    <t>selec</t>
  </si>
  <si>
    <t>nominal</t>
  </si>
  <si>
    <t>C</t>
  </si>
  <si>
    <t>Críticos</t>
  </si>
  <si>
    <t>Crítica</t>
  </si>
  <si>
    <t>(m)</t>
  </si>
  <si>
    <t>(m/s)</t>
  </si>
  <si>
    <t>(mm)</t>
  </si>
  <si>
    <t>(pulg)</t>
  </si>
  <si>
    <t>(mca)</t>
  </si>
  <si>
    <t>A-B</t>
  </si>
  <si>
    <t>B-C</t>
  </si>
  <si>
    <t>C-D</t>
  </si>
  <si>
    <t>Altura</t>
  </si>
  <si>
    <t>D-E</t>
  </si>
  <si>
    <t>E-F</t>
  </si>
  <si>
    <t>F-G</t>
  </si>
  <si>
    <t>E-H</t>
  </si>
  <si>
    <t>H-I</t>
  </si>
  <si>
    <t>H-J</t>
  </si>
  <si>
    <t>J-K</t>
  </si>
  <si>
    <t>K-L</t>
  </si>
  <si>
    <t>M-N</t>
  </si>
  <si>
    <r>
      <t>(m</t>
    </r>
    <r>
      <rPr>
        <vertAlign val="superscript"/>
        <sz val="11"/>
        <color indexed="8"/>
        <rFont val="Arial"/>
        <family val="2"/>
      </rPr>
      <t>3</t>
    </r>
    <r>
      <rPr>
        <sz val="11"/>
        <color indexed="8"/>
        <rFont val="Arial"/>
        <family val="2"/>
      </rPr>
      <t>/s)</t>
    </r>
  </si>
  <si>
    <t>l/s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</si>
  <si>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</t>
    </r>
  </si>
  <si>
    <t>CALCULO DE CAUDAL DE DISEÑO DE AGUA POTABLE FRÍA Y CALIENTE</t>
  </si>
  <si>
    <t xml:space="preserve">Caída </t>
  </si>
  <si>
    <t>Presión</t>
  </si>
  <si>
    <t>tubería</t>
  </si>
  <si>
    <t>mínima</t>
  </si>
  <si>
    <t>geométrica</t>
  </si>
  <si>
    <t>Accesorio</t>
  </si>
  <si>
    <t>Diámetro mínimo (mm)</t>
  </si>
  <si>
    <t>Presión mínima (mca)</t>
  </si>
  <si>
    <t>Unidades de accesorio (Uso privado)</t>
  </si>
  <si>
    <t>Unidades de accesorio (Uso público)</t>
  </si>
  <si>
    <t>Tina de baño</t>
  </si>
  <si>
    <t>Bidé</t>
  </si>
  <si>
    <t>Ducha</t>
  </si>
  <si>
    <t>Fregadero doméstico</t>
  </si>
  <si>
    <t>Fregadero comercial</t>
  </si>
  <si>
    <t>Fregadero clínicas</t>
  </si>
  <si>
    <t>Inodoro con tanque</t>
  </si>
  <si>
    <t>Inodoro con fluxómetro</t>
  </si>
  <si>
    <t>7 a 14</t>
  </si>
  <si>
    <t>Fuente para beber</t>
  </si>
  <si>
    <t>2,5</t>
  </si>
  <si>
    <t>Lavatorio</t>
  </si>
  <si>
    <t>Lavadora</t>
  </si>
  <si>
    <t>3,5</t>
  </si>
  <si>
    <t>Llave para riego (jardín)</t>
  </si>
  <si>
    <t>Mingitorios con tanque</t>
  </si>
  <si>
    <t>Mingitorios con fluxómetro</t>
  </si>
  <si>
    <t>5 a 10</t>
  </si>
  <si>
    <t>Lavaplatos doméstico</t>
  </si>
  <si>
    <t>Pileta de lavar</t>
  </si>
  <si>
    <t>Unidades accesorio por pieza</t>
  </si>
  <si>
    <t>Unidades accesorio Total</t>
  </si>
  <si>
    <t>Cantidad de piezas</t>
  </si>
  <si>
    <t>Tipo de uso</t>
  </si>
  <si>
    <t>Privado</t>
  </si>
  <si>
    <t>Predominan</t>
  </si>
  <si>
    <t>Tipo de agua</t>
  </si>
  <si>
    <t>Fría y Caliente</t>
  </si>
  <si>
    <t>Unidades accesorio Agua Fría Total</t>
  </si>
  <si>
    <t>Unidades accesorio Agua Caliente Total</t>
  </si>
  <si>
    <t>Tanques</t>
  </si>
  <si>
    <t>Fría</t>
  </si>
  <si>
    <t xml:space="preserve"> </t>
  </si>
  <si>
    <t>D-F</t>
  </si>
  <si>
    <t>F-H</t>
  </si>
  <si>
    <t>I-J</t>
  </si>
  <si>
    <t>B-K</t>
  </si>
  <si>
    <t>K-P</t>
  </si>
  <si>
    <t>L-M</t>
  </si>
  <si>
    <t>M-Q</t>
  </si>
  <si>
    <t>N-O</t>
  </si>
  <si>
    <t>No se requiere sistema de bombeo</t>
  </si>
  <si>
    <t>B-D</t>
  </si>
  <si>
    <t>K-M</t>
  </si>
  <si>
    <t>N-P</t>
  </si>
  <si>
    <t>P-Q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</si>
</sst>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164" formatCode="General_)"/>
    <numFmt numFmtId="165" formatCode="0.0"/>
    <numFmt numFmtId="166" formatCode="0_)"/>
    <numFmt numFmtId="167" formatCode="0.0_)"/>
    <numFmt numFmtId="168" formatCode="0.00_)"/>
    <numFmt numFmtId="169" formatCode="0.000E+00"/>
    <numFmt numFmtId="170" formatCode="0.000_)"/>
    <numFmt numFmtId="171" formatCode="0.0000000000"/>
    <numFmt numFmtId="172" formatCode="0.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Symbol"/>
      <family val="1"/>
      <charset val="2"/>
    </font>
    <font>
      <sz val="11"/>
      <color theme="1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2"/>
      <color indexed="8"/>
      <name val="Courier"/>
      <family val="3"/>
    </font>
    <font>
      <vertAlign val="superscript"/>
      <sz val="11"/>
      <color indexed="8"/>
      <name val="Arial"/>
      <family val="2"/>
    </font>
    <font>
      <b/>
      <u/>
      <sz val="11"/>
      <color indexed="8"/>
      <name val="Arial"/>
      <family val="2"/>
    </font>
    <font>
      <vertAlign val="superscript"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indexed="8"/>
      <name val="Arial"/>
      <family val="2"/>
    </font>
    <font>
      <b/>
      <sz val="11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13">
    <xf numFmtId="0" fontId="0" fillId="0" borderId="0" xfId="0"/>
    <xf numFmtId="164" fontId="3" fillId="0" borderId="0" xfId="0" applyNumberFormat="1" applyFont="1" applyAlignment="1">
      <alignment horizontal="center" vertical="center"/>
    </xf>
    <xf numFmtId="164" fontId="8" fillId="0" borderId="1" xfId="0" applyNumberFormat="1" applyFont="1" applyBorder="1"/>
    <xf numFmtId="166" fontId="8" fillId="0" borderId="1" xfId="0" applyNumberFormat="1" applyFont="1" applyBorder="1"/>
    <xf numFmtId="167" fontId="8" fillId="0" borderId="1" xfId="0" applyNumberFormat="1" applyFont="1" applyBorder="1"/>
    <xf numFmtId="168" fontId="8" fillId="0" borderId="6" xfId="0" applyNumberFormat="1" applyFont="1" applyBorder="1"/>
    <xf numFmtId="168" fontId="8" fillId="0" borderId="1" xfId="0" applyNumberFormat="1" applyFont="1" applyBorder="1"/>
    <xf numFmtId="2" fontId="8" fillId="0" borderId="1" xfId="0" applyNumberFormat="1" applyFont="1" applyBorder="1"/>
    <xf numFmtId="2" fontId="8" fillId="0" borderId="6" xfId="0" applyNumberFormat="1" applyFont="1" applyBorder="1"/>
    <xf numFmtId="164" fontId="8" fillId="0" borderId="13" xfId="0" applyNumberFormat="1" applyFont="1" applyBorder="1"/>
    <xf numFmtId="167" fontId="8" fillId="0" borderId="6" xfId="0" applyNumberFormat="1" applyFont="1" applyBorder="1"/>
    <xf numFmtId="164" fontId="7" fillId="0" borderId="3" xfId="0" applyNumberFormat="1" applyFont="1" applyBorder="1" applyAlignment="1">
      <alignment horizontal="center" vertical="center"/>
    </xf>
    <xf numFmtId="169" fontId="7" fillId="0" borderId="3" xfId="0" applyNumberFormat="1" applyFont="1" applyBorder="1" applyAlignment="1">
      <alignment horizontal="center" vertical="center"/>
    </xf>
    <xf numFmtId="167" fontId="7" fillId="0" borderId="15" xfId="0" applyNumberFormat="1" applyFont="1" applyBorder="1" applyAlignment="1">
      <alignment horizontal="center" vertical="center"/>
    </xf>
    <xf numFmtId="167" fontId="7" fillId="0" borderId="3" xfId="0" applyNumberFormat="1" applyFont="1" applyBorder="1" applyAlignment="1">
      <alignment horizontal="center" vertical="center"/>
    </xf>
    <xf numFmtId="168" fontId="7" fillId="0" borderId="4" xfId="0" applyNumberFormat="1" applyFont="1" applyBorder="1" applyAlignment="1">
      <alignment horizontal="center" vertical="center"/>
    </xf>
    <xf numFmtId="168" fontId="7" fillId="0" borderId="3" xfId="0" applyNumberFormat="1" applyFont="1" applyBorder="1" applyAlignment="1">
      <alignment horizontal="center" vertical="center"/>
    </xf>
    <xf numFmtId="166" fontId="7" fillId="0" borderId="3" xfId="0" applyNumberFormat="1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/>
    </xf>
    <xf numFmtId="170" fontId="7" fillId="0" borderId="3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9" fontId="7" fillId="0" borderId="6" xfId="0" applyNumberFormat="1" applyFont="1" applyBorder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167" fontId="7" fillId="0" borderId="6" xfId="0" applyNumberFormat="1" applyFont="1" applyBorder="1" applyAlignment="1">
      <alignment horizontal="center" vertical="center"/>
    </xf>
    <xf numFmtId="168" fontId="7" fillId="0" borderId="7" xfId="0" applyNumberFormat="1" applyFont="1" applyBorder="1" applyAlignment="1">
      <alignment horizontal="center" vertical="center"/>
    </xf>
    <xf numFmtId="168" fontId="7" fillId="0" borderId="6" xfId="0" applyNumberFormat="1" applyFont="1" applyBorder="1" applyAlignment="1">
      <alignment horizontal="center" vertical="center"/>
    </xf>
    <xf numFmtId="166" fontId="7" fillId="0" borderId="5" xfId="0" applyNumberFormat="1" applyFont="1" applyBorder="1" applyAlignment="1">
      <alignment horizontal="center" vertical="center"/>
    </xf>
    <xf numFmtId="170" fontId="7" fillId="0" borderId="6" xfId="0" applyNumberFormat="1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9" fontId="7" fillId="0" borderId="1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168" fontId="7" fillId="0" borderId="9" xfId="0" applyNumberFormat="1" applyFont="1" applyBorder="1" applyAlignment="1">
      <alignment horizontal="center" vertical="center"/>
    </xf>
    <xf numFmtId="168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4" fontId="7" fillId="0" borderId="11" xfId="0" applyNumberFormat="1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/>
    </xf>
    <xf numFmtId="167" fontId="7" fillId="0" borderId="5" xfId="0" applyNumberFormat="1" applyFont="1" applyBorder="1" applyAlignment="1">
      <alignment horizontal="center" vertical="center"/>
    </xf>
    <xf numFmtId="167" fontId="7" fillId="0" borderId="8" xfId="0" applyNumberFormat="1" applyFont="1" applyBorder="1" applyAlignment="1">
      <alignment horizontal="center" vertical="center"/>
    </xf>
    <xf numFmtId="166" fontId="8" fillId="0" borderId="6" xfId="0" applyNumberFormat="1" applyFont="1" applyBorder="1"/>
    <xf numFmtId="170" fontId="7" fillId="0" borderId="1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3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2" fillId="3" borderId="1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164" fontId="5" fillId="0" borderId="16" xfId="0" applyNumberFormat="1" applyFont="1" applyBorder="1" applyAlignment="1">
      <alignment horizontal="center" vertical="center" wrapText="1"/>
    </xf>
    <xf numFmtId="164" fontId="3" fillId="0" borderId="17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164" fontId="6" fillId="0" borderId="19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 wrapText="1"/>
    </xf>
    <xf numFmtId="13" fontId="3" fillId="4" borderId="0" xfId="0" applyNumberFormat="1" applyFont="1" applyFill="1" applyAlignment="1">
      <alignment horizontal="center" vertical="center"/>
    </xf>
    <xf numFmtId="164" fontId="3" fillId="4" borderId="10" xfId="0" applyNumberFormat="1" applyFont="1" applyFill="1" applyBorder="1" applyAlignment="1">
      <alignment horizontal="center" vertical="center"/>
    </xf>
    <xf numFmtId="164" fontId="3" fillId="4" borderId="11" xfId="0" applyNumberFormat="1" applyFont="1" applyFill="1" applyBorder="1" applyAlignment="1">
      <alignment horizontal="center" vertical="center"/>
    </xf>
    <xf numFmtId="164" fontId="3" fillId="4" borderId="12" xfId="0" applyNumberFormat="1" applyFont="1" applyFill="1" applyBorder="1" applyAlignment="1">
      <alignment horizontal="center" vertical="center"/>
    </xf>
    <xf numFmtId="164" fontId="3" fillId="4" borderId="17" xfId="0" applyNumberFormat="1" applyFont="1" applyFill="1" applyBorder="1" applyAlignment="1">
      <alignment horizontal="center" vertical="center"/>
    </xf>
    <xf numFmtId="164" fontId="3" fillId="4" borderId="18" xfId="0" applyNumberFormat="1" applyFont="1" applyFill="1" applyBorder="1" applyAlignment="1">
      <alignment horizontal="center" vertical="center"/>
    </xf>
    <xf numFmtId="164" fontId="7" fillId="4" borderId="18" xfId="0" applyNumberFormat="1" applyFont="1" applyFill="1" applyBorder="1" applyAlignment="1">
      <alignment horizontal="center" vertical="center"/>
    </xf>
    <xf numFmtId="164" fontId="3" fillId="4" borderId="19" xfId="0" applyNumberFormat="1" applyFont="1" applyFill="1" applyBorder="1" applyAlignment="1">
      <alignment horizontal="center" vertical="center"/>
    </xf>
    <xf numFmtId="164" fontId="3" fillId="4" borderId="20" xfId="0" applyNumberFormat="1" applyFont="1" applyFill="1" applyBorder="1" applyAlignment="1">
      <alignment horizontal="center" vertical="center"/>
    </xf>
    <xf numFmtId="164" fontId="3" fillId="4" borderId="21" xfId="0" applyNumberFormat="1" applyFont="1" applyFill="1" applyBorder="1" applyAlignment="1">
      <alignment horizontal="center" vertical="center"/>
    </xf>
    <xf numFmtId="164" fontId="3" fillId="4" borderId="22" xfId="0" applyNumberFormat="1" applyFont="1" applyFill="1" applyBorder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171" fontId="5" fillId="6" borderId="0" xfId="1" applyNumberFormat="1" applyFont="1" applyFill="1" applyBorder="1" applyAlignment="1">
      <alignment horizontal="center" vertical="center"/>
    </xf>
    <xf numFmtId="164" fontId="5" fillId="7" borderId="10" xfId="0" applyNumberFormat="1" applyFont="1" applyFill="1" applyBorder="1" applyAlignment="1">
      <alignment horizontal="center" vertical="center" wrapText="1"/>
    </xf>
    <xf numFmtId="164" fontId="5" fillId="7" borderId="16" xfId="0" applyNumberFormat="1" applyFont="1" applyFill="1" applyBorder="1" applyAlignment="1">
      <alignment horizontal="center" vertical="center" wrapText="1"/>
    </xf>
    <xf numFmtId="164" fontId="3" fillId="7" borderId="10" xfId="0" applyNumberFormat="1" applyFont="1" applyFill="1" applyBorder="1" applyAlignment="1">
      <alignment horizontal="center" vertical="center"/>
    </xf>
    <xf numFmtId="164" fontId="3" fillId="7" borderId="23" xfId="0" applyNumberFormat="1" applyFont="1" applyFill="1" applyBorder="1" applyAlignment="1">
      <alignment horizontal="center" vertical="center"/>
    </xf>
    <xf numFmtId="164" fontId="3" fillId="7" borderId="11" xfId="0" applyNumberFormat="1" applyFont="1" applyFill="1" applyBorder="1" applyAlignment="1">
      <alignment horizontal="center" vertical="center"/>
    </xf>
    <xf numFmtId="164" fontId="6" fillId="7" borderId="0" xfId="0" applyNumberFormat="1" applyFont="1" applyFill="1" applyAlignment="1">
      <alignment horizontal="center" vertical="center"/>
    </xf>
    <xf numFmtId="164" fontId="3" fillId="7" borderId="12" xfId="0" applyNumberFormat="1" applyFont="1" applyFill="1" applyBorder="1" applyAlignment="1">
      <alignment horizontal="center" vertical="center"/>
    </xf>
    <xf numFmtId="164" fontId="6" fillId="7" borderId="24" xfId="0" applyNumberFormat="1" applyFont="1" applyFill="1" applyBorder="1" applyAlignment="1">
      <alignment horizontal="center" vertical="center"/>
    </xf>
    <xf numFmtId="164" fontId="5" fillId="2" borderId="10" xfId="0" applyNumberFormat="1" applyFont="1" applyFill="1" applyBorder="1" applyAlignment="1">
      <alignment horizontal="center" vertical="center" wrapText="1"/>
    </xf>
    <xf numFmtId="164" fontId="5" fillId="2" borderId="16" xfId="0" applyNumberFormat="1" applyFont="1" applyFill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center" vertical="center"/>
    </xf>
    <xf numFmtId="164" fontId="3" fillId="2" borderId="20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64" fontId="6" fillId="2" borderId="21" xfId="0" applyNumberFormat="1" applyFont="1" applyFill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4" fontId="6" fillId="2" borderId="22" xfId="0" applyNumberFormat="1" applyFont="1" applyFill="1" applyBorder="1" applyAlignment="1">
      <alignment horizontal="center" vertical="center"/>
    </xf>
    <xf numFmtId="171" fontId="5" fillId="8" borderId="0" xfId="1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4" fontId="7" fillId="0" borderId="11" xfId="0" applyNumberFormat="1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164" fontId="7" fillId="0" borderId="6" xfId="0" applyNumberFormat="1" applyFont="1" applyFill="1" applyBorder="1" applyAlignment="1">
      <alignment horizontal="center" vertical="center"/>
    </xf>
    <xf numFmtId="2" fontId="7" fillId="0" borderId="5" xfId="0" applyNumberFormat="1" applyFont="1" applyFill="1" applyBorder="1" applyAlignment="1">
      <alignment horizontal="center" vertical="center"/>
    </xf>
    <xf numFmtId="170" fontId="7" fillId="0" borderId="6" xfId="0" applyNumberFormat="1" applyFont="1" applyFill="1" applyBorder="1" applyAlignment="1">
      <alignment horizontal="center" vertical="center"/>
    </xf>
    <xf numFmtId="164" fontId="14" fillId="0" borderId="6" xfId="0" applyNumberFormat="1" applyFont="1" applyFill="1" applyBorder="1" applyAlignment="1">
      <alignment horizontal="center" vertical="center"/>
    </xf>
    <xf numFmtId="164" fontId="14" fillId="0" borderId="6" xfId="0" applyNumberFormat="1" applyFont="1" applyBorder="1" applyAlignment="1">
      <alignment horizontal="center" vertical="center"/>
    </xf>
    <xf numFmtId="172" fontId="0" fillId="0" borderId="0" xfId="0" applyNumberFormat="1"/>
    <xf numFmtId="2" fontId="15" fillId="0" borderId="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72" fontId="16" fillId="0" borderId="0" xfId="0" applyNumberFormat="1" applyFont="1"/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88"/>
  <sheetViews>
    <sheetView topLeftCell="A459" zoomScaleNormal="100" workbookViewId="0">
      <selection activeCell="C479" sqref="C479"/>
    </sheetView>
  </sheetViews>
  <sheetFormatPr baseColWidth="10" defaultColWidth="11.453125" defaultRowHeight="14.5" x14ac:dyDescent="0.35"/>
  <cols>
    <col min="1" max="1" width="11.453125" style="47"/>
    <col min="2" max="2" width="24.26953125" style="47" bestFit="1" customWidth="1"/>
    <col min="3" max="3" width="21.36328125" style="47" bestFit="1" customWidth="1"/>
    <col min="4" max="4" width="22.1796875" style="47" bestFit="1" customWidth="1"/>
    <col min="5" max="5" width="22.1796875" style="47" customWidth="1"/>
    <col min="6" max="7" width="22.1796875" style="47" bestFit="1" customWidth="1"/>
    <col min="8" max="8" width="29.7265625" style="47" bestFit="1" customWidth="1"/>
    <col min="9" max="9" width="26.453125" style="47" bestFit="1" customWidth="1"/>
    <col min="10" max="10" width="36.1796875" style="47" bestFit="1" customWidth="1"/>
    <col min="11" max="16384" width="11.453125" style="47"/>
  </cols>
  <sheetData>
    <row r="1" spans="2:10" x14ac:dyDescent="0.35">
      <c r="B1" s="47" t="s">
        <v>22</v>
      </c>
    </row>
    <row r="2" spans="2:10" ht="15.5" x14ac:dyDescent="0.35">
      <c r="B2" s="96" t="s">
        <v>38</v>
      </c>
      <c r="C2" s="96"/>
      <c r="D2" s="96"/>
      <c r="E2" s="96"/>
      <c r="F2" s="96"/>
      <c r="G2" s="96"/>
      <c r="H2" s="96"/>
      <c r="I2" s="96"/>
      <c r="J2" s="96"/>
    </row>
    <row r="3" spans="2:10" x14ac:dyDescent="0.35">
      <c r="B3" s="1" t="s">
        <v>74</v>
      </c>
      <c r="C3" s="66" t="s">
        <v>79</v>
      </c>
      <c r="D3" s="50"/>
      <c r="E3" s="50"/>
      <c r="F3" s="50"/>
      <c r="G3" s="50"/>
      <c r="H3" s="50"/>
      <c r="I3" s="50"/>
      <c r="J3" s="50"/>
    </row>
    <row r="4" spans="2:10" x14ac:dyDescent="0.35">
      <c r="B4" s="1" t="s">
        <v>72</v>
      </c>
      <c r="C4" s="66" t="s">
        <v>73</v>
      </c>
      <c r="D4" s="50"/>
      <c r="E4" s="50"/>
      <c r="F4" s="50"/>
      <c r="G4" s="50"/>
      <c r="H4" s="50"/>
      <c r="I4" s="50"/>
      <c r="J4" s="50"/>
    </row>
    <row r="5" spans="2:10" ht="16" thickBot="1" x14ac:dyDescent="0.4">
      <c r="B5" s="48"/>
      <c r="C5" s="49"/>
      <c r="D5" s="50"/>
      <c r="E5" s="50"/>
      <c r="F5" s="50"/>
      <c r="G5" s="50"/>
      <c r="H5" s="50"/>
      <c r="I5" s="50"/>
      <c r="J5" s="50"/>
    </row>
    <row r="6" spans="2:10" ht="31.5" thickBot="1" x14ac:dyDescent="0.4">
      <c r="B6" s="51" t="s">
        <v>0</v>
      </c>
      <c r="C6" s="51" t="s">
        <v>71</v>
      </c>
      <c r="D6" s="65" t="s">
        <v>69</v>
      </c>
      <c r="E6" s="65" t="s">
        <v>75</v>
      </c>
      <c r="F6" s="61" t="s">
        <v>70</v>
      </c>
      <c r="G6" s="79" t="s">
        <v>69</v>
      </c>
      <c r="H6" s="80" t="s">
        <v>77</v>
      </c>
      <c r="I6" s="87" t="s">
        <v>69</v>
      </c>
      <c r="J6" s="88" t="s">
        <v>78</v>
      </c>
    </row>
    <row r="7" spans="2:10" x14ac:dyDescent="0.35">
      <c r="B7" s="67" t="s">
        <v>55</v>
      </c>
      <c r="C7" s="70">
        <v>5</v>
      </c>
      <c r="D7" s="44">
        <f>IF(IF($C$4="Privado",1,0)=1,VLOOKUP(B7,'Piezas Sanitarias'!$B$4:$F$20,4,FALSE),VLOOKUP(B7,'Piezas Sanitarias'!$B$4:$F$20,5,FALSE))</f>
        <v>3</v>
      </c>
      <c r="E7" s="74" t="s">
        <v>80</v>
      </c>
      <c r="F7" s="62">
        <f>C7*D7</f>
        <v>15</v>
      </c>
      <c r="G7" s="81">
        <f>IF(E7="Fría",D7,D7*3/4)</f>
        <v>3</v>
      </c>
      <c r="H7" s="82">
        <f>C7*G7</f>
        <v>15</v>
      </c>
      <c r="I7" s="89">
        <f>IF(E7="Fría",0,D7*3/4)</f>
        <v>0</v>
      </c>
      <c r="J7" s="90">
        <f>C7*I7</f>
        <v>0</v>
      </c>
    </row>
    <row r="8" spans="2:10" x14ac:dyDescent="0.35">
      <c r="B8" s="68" t="s">
        <v>60</v>
      </c>
      <c r="C8" s="71">
        <v>5</v>
      </c>
      <c r="D8" s="45">
        <f>IF(IF($C$4="Privado",1,0)=1,VLOOKUP(B8,'Piezas Sanitarias'!$B$4:$F$20,4,FALSE),VLOOKUP(B8,'Piezas Sanitarias'!$B$4:$F$20,5,FALSE))</f>
        <v>1</v>
      </c>
      <c r="E8" s="75" t="s">
        <v>76</v>
      </c>
      <c r="F8" s="63">
        <f>C8*D8</f>
        <v>5</v>
      </c>
      <c r="G8" s="83">
        <f t="shared" ref="G8:G16" si="0">IF(E8="Fría",D8,D8*3/4)</f>
        <v>0.75</v>
      </c>
      <c r="H8" s="84">
        <f>C8*G8</f>
        <v>3.75</v>
      </c>
      <c r="I8" s="91">
        <f t="shared" ref="I8:I16" si="1">IF(E8="Fría",0,D8*3/4)</f>
        <v>0.75</v>
      </c>
      <c r="J8" s="92">
        <f>C8*I8</f>
        <v>3.75</v>
      </c>
    </row>
    <row r="9" spans="2:10" x14ac:dyDescent="0.35">
      <c r="B9" s="68" t="s">
        <v>51</v>
      </c>
      <c r="C9" s="71">
        <v>2</v>
      </c>
      <c r="D9" s="45">
        <f>IF(IF($C$4="Privado",1,0)=1,VLOOKUP(B9,'Piezas Sanitarias'!$B$4:$F$20,4,FALSE),VLOOKUP(B9,'Piezas Sanitarias'!$B$4:$F$20,5,FALSE))</f>
        <v>2</v>
      </c>
      <c r="E9" s="75" t="s">
        <v>76</v>
      </c>
      <c r="F9" s="63">
        <f t="shared" ref="F9:F16" si="2">C9*D9</f>
        <v>4</v>
      </c>
      <c r="G9" s="83">
        <f t="shared" si="0"/>
        <v>1.5</v>
      </c>
      <c r="H9" s="84">
        <f t="shared" ref="H9:H15" si="3">C9*G9</f>
        <v>3</v>
      </c>
      <c r="I9" s="91">
        <f t="shared" si="1"/>
        <v>1.5</v>
      </c>
      <c r="J9" s="92">
        <f>C9*I9</f>
        <v>3</v>
      </c>
    </row>
    <row r="10" spans="2:10" x14ac:dyDescent="0.35">
      <c r="B10" s="68" t="s">
        <v>68</v>
      </c>
      <c r="C10" s="71">
        <v>1</v>
      </c>
      <c r="D10" s="45">
        <f>IF(IF($C$4="Privado",1,0)=1,VLOOKUP(B10,'Piezas Sanitarias'!$B$4:$F$20,4,FALSE),VLOOKUP(B10,'Piezas Sanitarias'!$B$4:$F$20,5,FALSE))</f>
        <v>2</v>
      </c>
      <c r="E10" s="75" t="s">
        <v>80</v>
      </c>
      <c r="F10" s="63">
        <f t="shared" si="2"/>
        <v>2</v>
      </c>
      <c r="G10" s="83">
        <f t="shared" si="0"/>
        <v>2</v>
      </c>
      <c r="H10" s="84">
        <f t="shared" si="3"/>
        <v>2</v>
      </c>
      <c r="I10" s="91">
        <f t="shared" si="1"/>
        <v>0</v>
      </c>
      <c r="J10" s="92">
        <f t="shared" ref="J10:J13" si="4">C10*I10</f>
        <v>0</v>
      </c>
    </row>
    <row r="11" spans="2:10" x14ac:dyDescent="0.35">
      <c r="B11" s="68" t="s">
        <v>52</v>
      </c>
      <c r="C11" s="71">
        <v>2</v>
      </c>
      <c r="D11" s="45">
        <f>IF(IF($C$4="Privado",1,0)=1,VLOOKUP(B11,'Piezas Sanitarias'!$B$4:$F$20,4,FALSE),VLOOKUP(B11,'Piezas Sanitarias'!$B$4:$F$20,5,FALSE))</f>
        <v>2</v>
      </c>
      <c r="E11" s="75" t="s">
        <v>76</v>
      </c>
      <c r="F11" s="63">
        <f t="shared" si="2"/>
        <v>4</v>
      </c>
      <c r="G11" s="83">
        <f t="shared" si="0"/>
        <v>1.5</v>
      </c>
      <c r="H11" s="84">
        <f t="shared" si="3"/>
        <v>3</v>
      </c>
      <c r="I11" s="91">
        <f t="shared" si="1"/>
        <v>1.5</v>
      </c>
      <c r="J11" s="92">
        <f t="shared" si="4"/>
        <v>3</v>
      </c>
    </row>
    <row r="12" spans="2:10" x14ac:dyDescent="0.35">
      <c r="B12" s="68" t="s">
        <v>81</v>
      </c>
      <c r="C12" s="71"/>
      <c r="D12" s="45">
        <f>IF(IF($C$4="Privado",1,0)=1,VLOOKUP(B12,'Piezas Sanitarias'!$B$4:$F$20,4,FALSE),VLOOKUP(B12,'Piezas Sanitarias'!$B$4:$F$20,5,FALSE))</f>
        <v>0</v>
      </c>
      <c r="E12" s="75" t="s">
        <v>76</v>
      </c>
      <c r="F12" s="63">
        <f t="shared" si="2"/>
        <v>0</v>
      </c>
      <c r="G12" s="83">
        <f t="shared" si="0"/>
        <v>0</v>
      </c>
      <c r="H12" s="84">
        <f t="shared" si="3"/>
        <v>0</v>
      </c>
      <c r="I12" s="91">
        <f t="shared" si="1"/>
        <v>0</v>
      </c>
      <c r="J12" s="92">
        <f t="shared" si="4"/>
        <v>0</v>
      </c>
    </row>
    <row r="13" spans="2:10" x14ac:dyDescent="0.35">
      <c r="B13" s="68" t="s">
        <v>81</v>
      </c>
      <c r="C13" s="71"/>
      <c r="D13" s="45">
        <f>IF(IF($C$4="Privado",1,0)=1,VLOOKUP(B13,'Piezas Sanitarias'!$B$4:$F$20,4,FALSE),VLOOKUP(B13,'Piezas Sanitarias'!$B$4:$F$20,5,FALSE))</f>
        <v>0</v>
      </c>
      <c r="E13" s="75" t="s">
        <v>76</v>
      </c>
      <c r="F13" s="63">
        <f t="shared" si="2"/>
        <v>0</v>
      </c>
      <c r="G13" s="83">
        <f t="shared" si="0"/>
        <v>0</v>
      </c>
      <c r="H13" s="84">
        <f t="shared" si="3"/>
        <v>0</v>
      </c>
      <c r="I13" s="91">
        <f t="shared" si="1"/>
        <v>0</v>
      </c>
      <c r="J13" s="92">
        <f t="shared" si="4"/>
        <v>0</v>
      </c>
    </row>
    <row r="14" spans="2:10" x14ac:dyDescent="0.35">
      <c r="B14" s="68" t="s">
        <v>81</v>
      </c>
      <c r="C14" s="72"/>
      <c r="D14" s="45">
        <f>IF(IF($C$4="Privado",1,0)=1,VLOOKUP(B14,'Piezas Sanitarias'!$B$4:$F$20,4,FALSE),VLOOKUP(B14,'Piezas Sanitarias'!$B$4:$F$20,5,FALSE))</f>
        <v>0</v>
      </c>
      <c r="E14" s="75" t="s">
        <v>80</v>
      </c>
      <c r="F14" s="63">
        <f t="shared" si="2"/>
        <v>0</v>
      </c>
      <c r="G14" s="83">
        <f t="shared" si="0"/>
        <v>0</v>
      </c>
      <c r="H14" s="84">
        <f t="shared" si="3"/>
        <v>0</v>
      </c>
      <c r="I14" s="91">
        <f t="shared" si="1"/>
        <v>0</v>
      </c>
      <c r="J14" s="92">
        <f>C14*I14</f>
        <v>0</v>
      </c>
    </row>
    <row r="15" spans="2:10" x14ac:dyDescent="0.35">
      <c r="B15" s="68" t="s">
        <v>81</v>
      </c>
      <c r="C15" s="72"/>
      <c r="D15" s="45">
        <f>IF(IF($C$4="Privado",1,0)=1,VLOOKUP(B15,'Piezas Sanitarias'!$B$4:$F$20,4,FALSE),VLOOKUP(B15,'Piezas Sanitarias'!$B$4:$F$20,5,FALSE))</f>
        <v>0</v>
      </c>
      <c r="E15" s="75" t="s">
        <v>80</v>
      </c>
      <c r="F15" s="63">
        <f t="shared" si="2"/>
        <v>0</v>
      </c>
      <c r="G15" s="83">
        <f t="shared" si="0"/>
        <v>0</v>
      </c>
      <c r="H15" s="84">
        <f t="shared" si="3"/>
        <v>0</v>
      </c>
      <c r="I15" s="91">
        <f t="shared" si="1"/>
        <v>0</v>
      </c>
      <c r="J15" s="92">
        <f>C15*I15</f>
        <v>0</v>
      </c>
    </row>
    <row r="16" spans="2:10" ht="15" thickBot="1" x14ac:dyDescent="0.4">
      <c r="B16" s="69" t="s">
        <v>81</v>
      </c>
      <c r="C16" s="73"/>
      <c r="D16" s="46">
        <f>IF(IF($C$4="Privado",1,0)=1,VLOOKUP(B16,'Piezas Sanitarias'!$B$4:$F$20,4,FALSE),VLOOKUP(B16,'Piezas Sanitarias'!$B$4:$F$20,5,FALSE))</f>
        <v>0</v>
      </c>
      <c r="E16" s="76" t="s">
        <v>80</v>
      </c>
      <c r="F16" s="64">
        <f t="shared" si="2"/>
        <v>0</v>
      </c>
      <c r="G16" s="85">
        <f t="shared" si="0"/>
        <v>0</v>
      </c>
      <c r="H16" s="86">
        <f>C16*G16</f>
        <v>0</v>
      </c>
      <c r="I16" s="93">
        <f t="shared" si="1"/>
        <v>0</v>
      </c>
      <c r="J16" s="94">
        <f>C16*I16</f>
        <v>0</v>
      </c>
    </row>
    <row r="17" spans="2:11" ht="15.5" x14ac:dyDescent="0.35">
      <c r="B17" s="1"/>
      <c r="C17" s="52"/>
      <c r="D17" s="53" t="s">
        <v>1</v>
      </c>
      <c r="E17" s="53"/>
      <c r="F17" s="77">
        <f>SUM(F7:F16)</f>
        <v>30</v>
      </c>
      <c r="G17" s="54"/>
      <c r="H17" s="77">
        <f>SUM(H7:H16)</f>
        <v>26.75</v>
      </c>
      <c r="I17" s="54"/>
      <c r="J17" s="77">
        <f>SUM(J7:J16)</f>
        <v>9.75</v>
      </c>
      <c r="K17" s="54"/>
    </row>
    <row r="18" spans="2:11" ht="16.5" x14ac:dyDescent="0.35">
      <c r="B18" s="1"/>
      <c r="C18" s="1"/>
      <c r="D18" s="1" t="s">
        <v>2</v>
      </c>
      <c r="E18" s="1"/>
      <c r="F18" s="78">
        <f>(IFERROR(
IF($C$3="Tanques",
   IF(F17&lt;100,
      0.13*POWER(F17,0.669),
      0.0145*F17+1.39-0.00000283*POWER(F17,2)
   ),
   IF($C$3="Fluxometros",
      IF(F17&lt;150,
         0.68*POWER(F17,0.4),
         0.0122*F17+3.37-0.00000215*POWER(F17,2)
      )
   )
),
0))/1000</f>
        <v>1.265136750887909E-3</v>
      </c>
      <c r="G18" s="56" t="s">
        <v>37</v>
      </c>
      <c r="H18" s="78">
        <f>(IFERROR(
IF($C$3="Tanques",
   IF(H17&lt;100,
      0.13*POWER(H17,0.669),
      0.0145*H17+1.39-0.00000283*POWER(H17,2)
   ),
   IF($C$3="Fluxometros",
      IF(H17&lt;150,
         0.68*POWER(H17,0.4),
         0.0122*H17+3.37-0.00000215*POWER(H17,2)
      )
   )
),
0))/1000</f>
        <v>1.1717176323983486E-3</v>
      </c>
      <c r="I18" s="56" t="s">
        <v>37</v>
      </c>
      <c r="J18" s="78">
        <f>(IFERROR(
IF($C$3="Tanques",
   IF(J17&lt;100,
      0.13*POWER(J17,0.669),
      0.0145*J17+1.39-0.00000283*POWER(J17,2)
   ),
   IF($C$3="Fluxometros",
      IF(J17&lt;150,
         0.68*POWER(J17,0.4),
         0.0122*J17+3.37-0.00000215*POWER(J17,2)
      )
   )
),
0))/1000</f>
        <v>5.9646839981147652E-4</v>
      </c>
      <c r="K18" s="56" t="s">
        <v>37</v>
      </c>
    </row>
    <row r="19" spans="2:11" ht="15.5" x14ac:dyDescent="0.35">
      <c r="C19" s="1"/>
      <c r="F19" s="95">
        <f>(IFERROR(
IF($C$3="Tanques",
   IF(F17&lt;100,
      0.13*POWER(F17,0.669),
      0.0145*F17+1.39-0.00000283*POWER(F17,2)
   ),
   IF($C$3="Fluxometros",
      IF(F17&lt;150,
         0.68*POWER(F17,0.4),
         0.0122*F17+3.37-0.00000215*POWER(F17,2)
      )
   )
),
0))</f>
        <v>1.265136750887909</v>
      </c>
      <c r="G19" s="55" t="s">
        <v>36</v>
      </c>
      <c r="H19" s="95">
        <f>(IFERROR(
IF($C$3="Tanques",
   IF(H17&lt;100,
      0.13*POWER(H17,0.669),
      0.0145*H17+1.39-0.00000283*POWER(H17,2)
   ),
   IF($C$3="Fluxometros",
      IF(H17&lt;150,
         0.68*POWER(H17,0.4),
         0.0122*H17+3.37-0.00000215*POWER(H17,2)
      )
   )
),
0))</f>
        <v>1.1717176323983487</v>
      </c>
      <c r="I19" s="55" t="s">
        <v>36</v>
      </c>
      <c r="J19" s="95">
        <f>(IFERROR(
IF($C$3="Tanques",
   IF(J17&lt;100,
      0.13*POWER(J17,0.669),
      0.0145*J17+1.39-0.00000283*POWER(J17,2)
   ),
   IF($C$3="Fluxometros",
      IF(J17&lt;150,
         0.68*POWER(J17,0.4),
         0.0122*J17+3.37-0.00000215*POWER(J17,2)
      )
   )
),
0))</f>
        <v>0.59646839981147648</v>
      </c>
      <c r="K19" s="55" t="s">
        <v>36</v>
      </c>
    </row>
    <row r="23" spans="2:11" x14ac:dyDescent="0.35">
      <c r="B23" s="47" t="s">
        <v>23</v>
      </c>
    </row>
    <row r="25" spans="2:11" ht="15.5" x14ac:dyDescent="0.35">
      <c r="B25" s="96" t="s">
        <v>38</v>
      </c>
      <c r="C25" s="96"/>
      <c r="D25" s="96"/>
      <c r="E25" s="96"/>
      <c r="F25" s="96"/>
      <c r="G25" s="96"/>
      <c r="H25" s="96"/>
      <c r="I25" s="96"/>
      <c r="J25" s="96"/>
    </row>
    <row r="26" spans="2:11" x14ac:dyDescent="0.35">
      <c r="B26" s="1" t="s">
        <v>74</v>
      </c>
      <c r="C26" s="66" t="s">
        <v>79</v>
      </c>
      <c r="D26" s="50"/>
      <c r="E26" s="50"/>
      <c r="F26" s="50"/>
      <c r="G26" s="50"/>
      <c r="H26" s="50"/>
      <c r="I26" s="50"/>
      <c r="J26" s="50"/>
    </row>
    <row r="27" spans="2:11" x14ac:dyDescent="0.35">
      <c r="B27" s="1" t="s">
        <v>72</v>
      </c>
      <c r="C27" s="66" t="s">
        <v>73</v>
      </c>
      <c r="D27" s="50"/>
      <c r="E27" s="50"/>
      <c r="F27" s="50"/>
      <c r="G27" s="50"/>
      <c r="H27" s="50"/>
      <c r="I27" s="50"/>
      <c r="J27" s="50"/>
    </row>
    <row r="28" spans="2:11" ht="16" thickBot="1" x14ac:dyDescent="0.4">
      <c r="B28" s="48"/>
      <c r="C28" s="49"/>
      <c r="D28" s="50"/>
      <c r="E28" s="50"/>
      <c r="F28" s="50"/>
      <c r="G28" s="50"/>
      <c r="H28" s="50"/>
      <c r="I28" s="50"/>
      <c r="J28" s="50"/>
    </row>
    <row r="29" spans="2:11" ht="31.5" thickBot="1" x14ac:dyDescent="0.4">
      <c r="B29" s="51" t="s">
        <v>0</v>
      </c>
      <c r="C29" s="51" t="s">
        <v>71</v>
      </c>
      <c r="D29" s="65" t="s">
        <v>69</v>
      </c>
      <c r="E29" s="65" t="s">
        <v>75</v>
      </c>
      <c r="F29" s="61" t="s">
        <v>70</v>
      </c>
      <c r="G29" s="79" t="s">
        <v>69</v>
      </c>
      <c r="H29" s="80" t="s">
        <v>77</v>
      </c>
      <c r="I29" s="87" t="s">
        <v>69</v>
      </c>
      <c r="J29" s="88" t="s">
        <v>78</v>
      </c>
    </row>
    <row r="30" spans="2:11" x14ac:dyDescent="0.35">
      <c r="B30" s="67" t="s">
        <v>55</v>
      </c>
      <c r="C30" s="70">
        <v>2</v>
      </c>
      <c r="D30" s="44">
        <f>IF(IF($C$4="Privado",1,0)=1,VLOOKUP(B30,'Piezas Sanitarias'!$B$4:$F$20,4,FALSE),VLOOKUP(B30,'Piezas Sanitarias'!$B$4:$F$20,5,FALSE))</f>
        <v>3</v>
      </c>
      <c r="E30" s="74" t="s">
        <v>80</v>
      </c>
      <c r="F30" s="62">
        <f>C30*D30</f>
        <v>6</v>
      </c>
      <c r="G30" s="81">
        <f>IF(E30="Fría",D30,D30*3/4)</f>
        <v>3</v>
      </c>
      <c r="H30" s="82">
        <f>C30*G30</f>
        <v>6</v>
      </c>
      <c r="I30" s="89">
        <f>IF(E30="Fría",0,D30*3/4)</f>
        <v>0</v>
      </c>
      <c r="J30" s="90">
        <f>C30*I30</f>
        <v>0</v>
      </c>
    </row>
    <row r="31" spans="2:11" x14ac:dyDescent="0.35">
      <c r="B31" s="68" t="s">
        <v>60</v>
      </c>
      <c r="C31" s="71">
        <v>2</v>
      </c>
      <c r="D31" s="45">
        <f>IF(IF($C$4="Privado",1,0)=1,VLOOKUP(B31,'Piezas Sanitarias'!$B$4:$F$20,4,FALSE),VLOOKUP(B31,'Piezas Sanitarias'!$B$4:$F$20,5,FALSE))</f>
        <v>1</v>
      </c>
      <c r="E31" s="75" t="s">
        <v>76</v>
      </c>
      <c r="F31" s="63">
        <f>C31*D31</f>
        <v>2</v>
      </c>
      <c r="G31" s="83">
        <f t="shared" ref="G31:G39" si="5">IF(E31="Fría",D31,D31*3/4)</f>
        <v>0.75</v>
      </c>
      <c r="H31" s="84">
        <f>C31*G31</f>
        <v>1.5</v>
      </c>
      <c r="I31" s="91">
        <f t="shared" ref="I31:I39" si="6">IF(E31="Fría",0,D31*3/4)</f>
        <v>0.75</v>
      </c>
      <c r="J31" s="92">
        <f>C31*I31</f>
        <v>1.5</v>
      </c>
    </row>
    <row r="32" spans="2:11" x14ac:dyDescent="0.35">
      <c r="B32" s="68" t="s">
        <v>51</v>
      </c>
      <c r="C32" s="71">
        <v>1</v>
      </c>
      <c r="D32" s="45">
        <f>IF(IF($C$4="Privado",1,0)=1,VLOOKUP(B32,'Piezas Sanitarias'!$B$4:$F$20,4,FALSE),VLOOKUP(B32,'Piezas Sanitarias'!$B$4:$F$20,5,FALSE))</f>
        <v>2</v>
      </c>
      <c r="E32" s="75" t="s">
        <v>76</v>
      </c>
      <c r="F32" s="63">
        <f t="shared" ref="F32:F39" si="7">C32*D32</f>
        <v>2</v>
      </c>
      <c r="G32" s="83">
        <f t="shared" si="5"/>
        <v>1.5</v>
      </c>
      <c r="H32" s="84">
        <f t="shared" ref="H32:H38" si="8">C32*G32</f>
        <v>1.5</v>
      </c>
      <c r="I32" s="91">
        <f t="shared" si="6"/>
        <v>1.5</v>
      </c>
      <c r="J32" s="92">
        <f>C32*I32</f>
        <v>1.5</v>
      </c>
    </row>
    <row r="33" spans="2:11" x14ac:dyDescent="0.35">
      <c r="B33" s="68" t="s">
        <v>68</v>
      </c>
      <c r="C33" s="71">
        <v>1</v>
      </c>
      <c r="D33" s="45">
        <f>IF(IF($C$4="Privado",1,0)=1,VLOOKUP(B33,'Piezas Sanitarias'!$B$4:$F$20,4,FALSE),VLOOKUP(B33,'Piezas Sanitarias'!$B$4:$F$20,5,FALSE))</f>
        <v>2</v>
      </c>
      <c r="E33" s="75" t="s">
        <v>80</v>
      </c>
      <c r="F33" s="63">
        <f t="shared" si="7"/>
        <v>2</v>
      </c>
      <c r="G33" s="83">
        <f t="shared" si="5"/>
        <v>2</v>
      </c>
      <c r="H33" s="84">
        <f t="shared" si="8"/>
        <v>2</v>
      </c>
      <c r="I33" s="91">
        <f t="shared" si="6"/>
        <v>0</v>
      </c>
      <c r="J33" s="92">
        <f t="shared" ref="J33:J36" si="9">C33*I33</f>
        <v>0</v>
      </c>
    </row>
    <row r="34" spans="2:11" x14ac:dyDescent="0.35">
      <c r="B34" s="68" t="s">
        <v>52</v>
      </c>
      <c r="C34" s="71">
        <v>2</v>
      </c>
      <c r="D34" s="45">
        <f>IF(IF($C$4="Privado",1,0)=1,VLOOKUP(B34,'Piezas Sanitarias'!$B$4:$F$20,4,FALSE),VLOOKUP(B34,'Piezas Sanitarias'!$B$4:$F$20,5,FALSE))</f>
        <v>2</v>
      </c>
      <c r="E34" s="75" t="s">
        <v>76</v>
      </c>
      <c r="F34" s="63">
        <f t="shared" si="7"/>
        <v>4</v>
      </c>
      <c r="G34" s="83">
        <f t="shared" si="5"/>
        <v>1.5</v>
      </c>
      <c r="H34" s="84">
        <f t="shared" si="8"/>
        <v>3</v>
      </c>
      <c r="I34" s="91">
        <f t="shared" si="6"/>
        <v>1.5</v>
      </c>
      <c r="J34" s="92">
        <f t="shared" si="9"/>
        <v>3</v>
      </c>
    </row>
    <row r="35" spans="2:11" x14ac:dyDescent="0.35">
      <c r="B35" s="68" t="s">
        <v>81</v>
      </c>
      <c r="C35" s="71"/>
      <c r="D35" s="45">
        <f>IF(IF($C$4="Privado",1,0)=1,VLOOKUP(B35,'Piezas Sanitarias'!$B$4:$F$20,4,FALSE),VLOOKUP(B35,'Piezas Sanitarias'!$B$4:$F$20,5,FALSE))</f>
        <v>0</v>
      </c>
      <c r="E35" s="75" t="s">
        <v>76</v>
      </c>
      <c r="F35" s="63">
        <f t="shared" si="7"/>
        <v>0</v>
      </c>
      <c r="G35" s="83">
        <f t="shared" si="5"/>
        <v>0</v>
      </c>
      <c r="H35" s="84">
        <f t="shared" si="8"/>
        <v>0</v>
      </c>
      <c r="I35" s="91">
        <f t="shared" si="6"/>
        <v>0</v>
      </c>
      <c r="J35" s="92">
        <f t="shared" si="9"/>
        <v>0</v>
      </c>
    </row>
    <row r="36" spans="2:11" x14ac:dyDescent="0.35">
      <c r="B36" s="68" t="s">
        <v>81</v>
      </c>
      <c r="C36" s="71"/>
      <c r="D36" s="45">
        <f>IF(IF($C$4="Privado",1,0)=1,VLOOKUP(B36,'Piezas Sanitarias'!$B$4:$F$20,4,FALSE),VLOOKUP(B36,'Piezas Sanitarias'!$B$4:$F$20,5,FALSE))</f>
        <v>0</v>
      </c>
      <c r="E36" s="75" t="s">
        <v>76</v>
      </c>
      <c r="F36" s="63">
        <f t="shared" si="7"/>
        <v>0</v>
      </c>
      <c r="G36" s="83">
        <f t="shared" si="5"/>
        <v>0</v>
      </c>
      <c r="H36" s="84">
        <f t="shared" si="8"/>
        <v>0</v>
      </c>
      <c r="I36" s="91">
        <f t="shared" si="6"/>
        <v>0</v>
      </c>
      <c r="J36" s="92">
        <f t="shared" si="9"/>
        <v>0</v>
      </c>
    </row>
    <row r="37" spans="2:11" x14ac:dyDescent="0.35">
      <c r="B37" s="68" t="s">
        <v>81</v>
      </c>
      <c r="C37" s="72"/>
      <c r="D37" s="45">
        <f>IF(IF($C$4="Privado",1,0)=1,VLOOKUP(B37,'Piezas Sanitarias'!$B$4:$F$20,4,FALSE),VLOOKUP(B37,'Piezas Sanitarias'!$B$4:$F$20,5,FALSE))</f>
        <v>0</v>
      </c>
      <c r="E37" s="75" t="s">
        <v>80</v>
      </c>
      <c r="F37" s="63">
        <f t="shared" si="7"/>
        <v>0</v>
      </c>
      <c r="G37" s="83">
        <f t="shared" si="5"/>
        <v>0</v>
      </c>
      <c r="H37" s="84">
        <f t="shared" si="8"/>
        <v>0</v>
      </c>
      <c r="I37" s="91">
        <f t="shared" si="6"/>
        <v>0</v>
      </c>
      <c r="J37" s="92">
        <f>C37*I37</f>
        <v>0</v>
      </c>
    </row>
    <row r="38" spans="2:11" x14ac:dyDescent="0.35">
      <c r="B38" s="68" t="s">
        <v>81</v>
      </c>
      <c r="C38" s="72"/>
      <c r="D38" s="45">
        <f>IF(IF($C$4="Privado",1,0)=1,VLOOKUP(B38,'Piezas Sanitarias'!$B$4:$F$20,4,FALSE),VLOOKUP(B38,'Piezas Sanitarias'!$B$4:$F$20,5,FALSE))</f>
        <v>0</v>
      </c>
      <c r="E38" s="75" t="s">
        <v>80</v>
      </c>
      <c r="F38" s="63">
        <f t="shared" si="7"/>
        <v>0</v>
      </c>
      <c r="G38" s="83">
        <f t="shared" si="5"/>
        <v>0</v>
      </c>
      <c r="H38" s="84">
        <f t="shared" si="8"/>
        <v>0</v>
      </c>
      <c r="I38" s="91">
        <f t="shared" si="6"/>
        <v>0</v>
      </c>
      <c r="J38" s="92">
        <f>C38*I38</f>
        <v>0</v>
      </c>
    </row>
    <row r="39" spans="2:11" ht="15" thickBot="1" x14ac:dyDescent="0.4">
      <c r="B39" s="69" t="s">
        <v>81</v>
      </c>
      <c r="C39" s="73"/>
      <c r="D39" s="46">
        <f>IF(IF($C$4="Privado",1,0)=1,VLOOKUP(B39,'Piezas Sanitarias'!$B$4:$F$20,4,FALSE),VLOOKUP(B39,'Piezas Sanitarias'!$B$4:$F$20,5,FALSE))</f>
        <v>0</v>
      </c>
      <c r="E39" s="76" t="s">
        <v>80</v>
      </c>
      <c r="F39" s="64">
        <f t="shared" si="7"/>
        <v>0</v>
      </c>
      <c r="G39" s="85">
        <f t="shared" si="5"/>
        <v>0</v>
      </c>
      <c r="H39" s="86">
        <f>C39*G39</f>
        <v>0</v>
      </c>
      <c r="I39" s="93">
        <f t="shared" si="6"/>
        <v>0</v>
      </c>
      <c r="J39" s="94">
        <f>C39*I39</f>
        <v>0</v>
      </c>
    </row>
    <row r="40" spans="2:11" ht="15.5" x14ac:dyDescent="0.35">
      <c r="B40" s="1"/>
      <c r="C40" s="52"/>
      <c r="D40" s="53" t="s">
        <v>1</v>
      </c>
      <c r="E40" s="53"/>
      <c r="F40" s="77">
        <f>SUM(F30:F39)</f>
        <v>16</v>
      </c>
      <c r="G40" s="54"/>
      <c r="H40" s="77">
        <f>SUM(H30:H39)</f>
        <v>14</v>
      </c>
      <c r="I40" s="54"/>
      <c r="J40" s="77">
        <f>SUM(J30:J39)</f>
        <v>6</v>
      </c>
      <c r="K40" s="54"/>
    </row>
    <row r="41" spans="2:11" ht="16.5" x14ac:dyDescent="0.35">
      <c r="B41" s="1"/>
      <c r="C41" s="1"/>
      <c r="D41" s="1" t="s">
        <v>2</v>
      </c>
      <c r="E41" s="1"/>
      <c r="F41" s="78">
        <f>(IFERROR(
IF($C$3="Tanques",
   IF(F40&lt;100,
      0.13*POWER(F40,0.669),
      0.0145*F40+1.39-0.00000283*POWER(F40,2)
   ),
   IF($C$3="Fluxometros",
      IF(F40&lt;150,
         0.68*POWER(F40,0.4),
         0.0122*F40+3.37-0.00000215*POWER(F40,2)
      )
   )
),
0))/1000</f>
        <v>8.308059931071139E-4</v>
      </c>
      <c r="G41" s="56" t="s">
        <v>37</v>
      </c>
      <c r="H41" s="78">
        <f>(IFERROR(
IF($C$3="Tanques",
   IF(H40&lt;100,
      0.13*POWER(H40,0.669),
      0.0145*H40+1.39-0.00000283*POWER(H40,2)
   ),
   IF($C$3="Fluxometros",
      IF(H40&lt;150,
         0.68*POWER(H40,0.4),
         0.0122*H40+3.37-0.00000215*POWER(H40,2)
      )
   )
),
0))/1000</f>
        <v>7.5980650635836032E-4</v>
      </c>
      <c r="I41" s="56" t="s">
        <v>37</v>
      </c>
      <c r="J41" s="78">
        <f>(IFERROR(
IF($C$3="Tanques",
   IF(J40&lt;100,
      0.13*POWER(J40,0.669),
      0.0145*J40+1.39-0.00000283*POWER(J40,2)
   ),
   IF($C$3="Fluxometros",
      IF(J40&lt;150,
         0.68*POWER(J40,0.4),
         0.0122*J40+3.37-0.00000215*POWER(J40,2)
      )
   )
),
0))/1000</f>
        <v>4.3104889768294183E-4</v>
      </c>
      <c r="K41" s="56" t="s">
        <v>37</v>
      </c>
    </row>
    <row r="42" spans="2:11" ht="15.5" x14ac:dyDescent="0.35">
      <c r="C42" s="1"/>
      <c r="F42" s="95">
        <f>(IFERROR(
IF($C$3="Tanques",
   IF(F40&lt;100,
      0.13*POWER(F40,0.669),
      0.0145*F40+1.39-0.00000283*POWER(F40,2)
   ),
   IF($C$3="Fluxometros",
      IF(F40&lt;150,
         0.68*POWER(F40,0.4),
         0.0122*F40+3.37-0.00000215*POWER(F40,2)
      )
   )
),
0))</f>
        <v>0.83080599310711389</v>
      </c>
      <c r="G42" s="55" t="s">
        <v>36</v>
      </c>
      <c r="H42" s="95">
        <f>(IFERROR(
IF($C$3="Tanques",
   IF(H40&lt;100,
      0.13*POWER(H40,0.669),
      0.0145*H40+1.39-0.00000283*POWER(H40,2)
   ),
   IF($C$3="Fluxometros",
      IF(H40&lt;150,
         0.68*POWER(H40,0.4),
         0.0122*H40+3.37-0.00000215*POWER(H40,2)
      )
   )
),
0))</f>
        <v>0.75980650635836033</v>
      </c>
      <c r="I42" s="55" t="s">
        <v>36</v>
      </c>
      <c r="J42" s="95">
        <f>(IFERROR(
IF($C$3="Tanques",
   IF(J40&lt;100,
      0.13*POWER(J40,0.669),
      0.0145*J40+1.39-0.00000283*POWER(J40,2)
   ),
   IF($C$3="Fluxometros",
      IF(J40&lt;150,
         0.68*POWER(J40,0.4),
         0.0122*J40+3.37-0.00000215*POWER(J40,2)
      )
   )
),
0))</f>
        <v>0.4310488976829418</v>
      </c>
      <c r="K42" s="55" t="s">
        <v>36</v>
      </c>
    </row>
    <row r="47" spans="2:11" x14ac:dyDescent="0.35">
      <c r="B47" s="47" t="s">
        <v>26</v>
      </c>
    </row>
    <row r="49" spans="2:11" ht="15.5" x14ac:dyDescent="0.35">
      <c r="B49" s="96" t="s">
        <v>38</v>
      </c>
      <c r="C49" s="96"/>
      <c r="D49" s="96"/>
      <c r="E49" s="96"/>
      <c r="F49" s="96"/>
      <c r="G49" s="96"/>
      <c r="H49" s="96"/>
      <c r="I49" s="96"/>
      <c r="J49" s="96"/>
    </row>
    <row r="50" spans="2:11" x14ac:dyDescent="0.35">
      <c r="B50" s="1" t="s">
        <v>74</v>
      </c>
      <c r="C50" s="66" t="s">
        <v>79</v>
      </c>
      <c r="D50" s="50"/>
      <c r="E50" s="50"/>
      <c r="F50" s="50"/>
      <c r="G50" s="50"/>
      <c r="H50" s="50"/>
      <c r="I50" s="50"/>
      <c r="J50" s="50"/>
    </row>
    <row r="51" spans="2:11" x14ac:dyDescent="0.35">
      <c r="B51" s="1" t="s">
        <v>72</v>
      </c>
      <c r="C51" s="66" t="s">
        <v>73</v>
      </c>
      <c r="D51" s="50"/>
      <c r="E51" s="50"/>
      <c r="F51" s="50"/>
      <c r="G51" s="50"/>
      <c r="H51" s="50"/>
      <c r="I51" s="50"/>
      <c r="J51" s="50"/>
    </row>
    <row r="52" spans="2:11" ht="16" thickBot="1" x14ac:dyDescent="0.4">
      <c r="B52" s="48"/>
      <c r="C52" s="49"/>
      <c r="D52" s="50"/>
      <c r="E52" s="50"/>
      <c r="F52" s="50"/>
      <c r="G52" s="50"/>
      <c r="H52" s="50"/>
      <c r="I52" s="50"/>
      <c r="J52" s="50"/>
    </row>
    <row r="53" spans="2:11" ht="31.5" thickBot="1" x14ac:dyDescent="0.4">
      <c r="B53" s="51" t="s">
        <v>0</v>
      </c>
      <c r="C53" s="51" t="s">
        <v>71</v>
      </c>
      <c r="D53" s="65" t="s">
        <v>69</v>
      </c>
      <c r="E53" s="65" t="s">
        <v>75</v>
      </c>
      <c r="F53" s="61" t="s">
        <v>70</v>
      </c>
      <c r="G53" s="79" t="s">
        <v>69</v>
      </c>
      <c r="H53" s="80" t="s">
        <v>77</v>
      </c>
      <c r="I53" s="87" t="s">
        <v>69</v>
      </c>
      <c r="J53" s="88" t="s">
        <v>78</v>
      </c>
    </row>
    <row r="54" spans="2:11" x14ac:dyDescent="0.35">
      <c r="B54" s="67" t="s">
        <v>55</v>
      </c>
      <c r="C54" s="70">
        <v>1</v>
      </c>
      <c r="D54" s="44">
        <f>IF(IF($C$4="Privado",1,0)=1,VLOOKUP(B54,'Piezas Sanitarias'!$B$4:$F$20,4,FALSE),VLOOKUP(B54,'Piezas Sanitarias'!$B$4:$F$20,5,FALSE))</f>
        <v>3</v>
      </c>
      <c r="E54" s="74" t="s">
        <v>80</v>
      </c>
      <c r="F54" s="62">
        <f>C54*D54</f>
        <v>3</v>
      </c>
      <c r="G54" s="81">
        <f>IF(E54="Fría",D54,D54*3/4)</f>
        <v>3</v>
      </c>
      <c r="H54" s="82">
        <f>C54*G54</f>
        <v>3</v>
      </c>
      <c r="I54" s="89">
        <f>IF(E54="Fría",0,D54*3/4)</f>
        <v>0</v>
      </c>
      <c r="J54" s="90">
        <f>C54*I54</f>
        <v>0</v>
      </c>
    </row>
    <row r="55" spans="2:11" x14ac:dyDescent="0.35">
      <c r="B55" s="68" t="s">
        <v>60</v>
      </c>
      <c r="C55" s="71">
        <v>1</v>
      </c>
      <c r="D55" s="45">
        <f>IF(IF($C$4="Privado",1,0)=1,VLOOKUP(B55,'Piezas Sanitarias'!$B$4:$F$20,4,FALSE),VLOOKUP(B55,'Piezas Sanitarias'!$B$4:$F$20,5,FALSE))</f>
        <v>1</v>
      </c>
      <c r="E55" s="75" t="s">
        <v>76</v>
      </c>
      <c r="F55" s="63">
        <f>C55*D55</f>
        <v>1</v>
      </c>
      <c r="G55" s="83">
        <f t="shared" ref="G55:G63" si="10">IF(E55="Fría",D55,D55*3/4)</f>
        <v>0.75</v>
      </c>
      <c r="H55" s="84">
        <f>C55*G55</f>
        <v>0.75</v>
      </c>
      <c r="I55" s="91">
        <f t="shared" ref="I55:I63" si="11">IF(E55="Fría",0,D55*3/4)</f>
        <v>0.75</v>
      </c>
      <c r="J55" s="92">
        <f>C55*I55</f>
        <v>0.75</v>
      </c>
    </row>
    <row r="56" spans="2:11" x14ac:dyDescent="0.35">
      <c r="B56" s="68" t="s">
        <v>51</v>
      </c>
      <c r="C56" s="71">
        <v>1</v>
      </c>
      <c r="D56" s="45">
        <f>IF(IF($C$4="Privado",1,0)=1,VLOOKUP(B56,'Piezas Sanitarias'!$B$4:$F$20,4,FALSE),VLOOKUP(B56,'Piezas Sanitarias'!$B$4:$F$20,5,FALSE))</f>
        <v>2</v>
      </c>
      <c r="E56" s="75" t="s">
        <v>76</v>
      </c>
      <c r="F56" s="63">
        <f t="shared" ref="F56:F63" si="12">C56*D56</f>
        <v>2</v>
      </c>
      <c r="G56" s="83">
        <f t="shared" si="10"/>
        <v>1.5</v>
      </c>
      <c r="H56" s="84">
        <f t="shared" ref="H56:H62" si="13">C56*G56</f>
        <v>1.5</v>
      </c>
      <c r="I56" s="91">
        <f t="shared" si="11"/>
        <v>1.5</v>
      </c>
      <c r="J56" s="92">
        <f>C56*I56</f>
        <v>1.5</v>
      </c>
    </row>
    <row r="57" spans="2:11" x14ac:dyDescent="0.35">
      <c r="B57" s="68" t="s">
        <v>68</v>
      </c>
      <c r="C57" s="71">
        <v>1</v>
      </c>
      <c r="D57" s="45">
        <f>IF(IF($C$4="Privado",1,0)=1,VLOOKUP(B57,'Piezas Sanitarias'!$B$4:$F$20,4,FALSE),VLOOKUP(B57,'Piezas Sanitarias'!$B$4:$F$20,5,FALSE))</f>
        <v>2</v>
      </c>
      <c r="E57" s="75" t="s">
        <v>80</v>
      </c>
      <c r="F57" s="63">
        <f t="shared" si="12"/>
        <v>2</v>
      </c>
      <c r="G57" s="83">
        <f t="shared" si="10"/>
        <v>2</v>
      </c>
      <c r="H57" s="84">
        <f t="shared" si="13"/>
        <v>2</v>
      </c>
      <c r="I57" s="91">
        <f t="shared" si="11"/>
        <v>0</v>
      </c>
      <c r="J57" s="92">
        <f t="shared" ref="J57:J60" si="14">C57*I57</f>
        <v>0</v>
      </c>
    </row>
    <row r="58" spans="2:11" x14ac:dyDescent="0.35">
      <c r="B58" s="68" t="s">
        <v>52</v>
      </c>
      <c r="C58" s="71">
        <v>0</v>
      </c>
      <c r="D58" s="45">
        <f>IF(IF($C$4="Privado",1,0)=1,VLOOKUP(B58,'Piezas Sanitarias'!$B$4:$F$20,4,FALSE),VLOOKUP(B58,'Piezas Sanitarias'!$B$4:$F$20,5,FALSE))</f>
        <v>2</v>
      </c>
      <c r="E58" s="75" t="s">
        <v>76</v>
      </c>
      <c r="F58" s="63">
        <f t="shared" si="12"/>
        <v>0</v>
      </c>
      <c r="G58" s="83">
        <f t="shared" si="10"/>
        <v>1.5</v>
      </c>
      <c r="H58" s="84">
        <f t="shared" si="13"/>
        <v>0</v>
      </c>
      <c r="I58" s="91">
        <f t="shared" si="11"/>
        <v>1.5</v>
      </c>
      <c r="J58" s="92">
        <f t="shared" si="14"/>
        <v>0</v>
      </c>
    </row>
    <row r="59" spans="2:11" x14ac:dyDescent="0.35">
      <c r="B59" s="68" t="s">
        <v>81</v>
      </c>
      <c r="C59" s="71"/>
      <c r="D59" s="45">
        <f>IF(IF($C$4="Privado",1,0)=1,VLOOKUP(B59,'Piezas Sanitarias'!$B$4:$F$20,4,FALSE),VLOOKUP(B59,'Piezas Sanitarias'!$B$4:$F$20,5,FALSE))</f>
        <v>0</v>
      </c>
      <c r="E59" s="75" t="s">
        <v>76</v>
      </c>
      <c r="F59" s="63">
        <f t="shared" si="12"/>
        <v>0</v>
      </c>
      <c r="G59" s="83">
        <f t="shared" si="10"/>
        <v>0</v>
      </c>
      <c r="H59" s="84">
        <f t="shared" si="13"/>
        <v>0</v>
      </c>
      <c r="I59" s="91">
        <f t="shared" si="11"/>
        <v>0</v>
      </c>
      <c r="J59" s="92">
        <f t="shared" si="14"/>
        <v>0</v>
      </c>
    </row>
    <row r="60" spans="2:11" x14ac:dyDescent="0.35">
      <c r="B60" s="68" t="s">
        <v>81</v>
      </c>
      <c r="C60" s="71"/>
      <c r="D60" s="45">
        <f>IF(IF($C$4="Privado",1,0)=1,VLOOKUP(B60,'Piezas Sanitarias'!$B$4:$F$20,4,FALSE),VLOOKUP(B60,'Piezas Sanitarias'!$B$4:$F$20,5,FALSE))</f>
        <v>0</v>
      </c>
      <c r="E60" s="75" t="s">
        <v>76</v>
      </c>
      <c r="F60" s="63">
        <f t="shared" si="12"/>
        <v>0</v>
      </c>
      <c r="G60" s="83">
        <f t="shared" si="10"/>
        <v>0</v>
      </c>
      <c r="H60" s="84">
        <f t="shared" si="13"/>
        <v>0</v>
      </c>
      <c r="I60" s="91">
        <f t="shared" si="11"/>
        <v>0</v>
      </c>
      <c r="J60" s="92">
        <f t="shared" si="14"/>
        <v>0</v>
      </c>
    </row>
    <row r="61" spans="2:11" x14ac:dyDescent="0.35">
      <c r="B61" s="68" t="s">
        <v>81</v>
      </c>
      <c r="C61" s="72"/>
      <c r="D61" s="45">
        <f>IF(IF($C$4="Privado",1,0)=1,VLOOKUP(B61,'Piezas Sanitarias'!$B$4:$F$20,4,FALSE),VLOOKUP(B61,'Piezas Sanitarias'!$B$4:$F$20,5,FALSE))</f>
        <v>0</v>
      </c>
      <c r="E61" s="75" t="s">
        <v>80</v>
      </c>
      <c r="F61" s="63">
        <f t="shared" si="12"/>
        <v>0</v>
      </c>
      <c r="G61" s="83">
        <f t="shared" si="10"/>
        <v>0</v>
      </c>
      <c r="H61" s="84">
        <f t="shared" si="13"/>
        <v>0</v>
      </c>
      <c r="I61" s="91">
        <f t="shared" si="11"/>
        <v>0</v>
      </c>
      <c r="J61" s="92">
        <f>C61*I61</f>
        <v>0</v>
      </c>
    </row>
    <row r="62" spans="2:11" x14ac:dyDescent="0.35">
      <c r="B62" s="68" t="s">
        <v>81</v>
      </c>
      <c r="C62" s="72"/>
      <c r="D62" s="45">
        <f>IF(IF($C$4="Privado",1,0)=1,VLOOKUP(B62,'Piezas Sanitarias'!$B$4:$F$20,4,FALSE),VLOOKUP(B62,'Piezas Sanitarias'!$B$4:$F$20,5,FALSE))</f>
        <v>0</v>
      </c>
      <c r="E62" s="75" t="s">
        <v>80</v>
      </c>
      <c r="F62" s="63">
        <f t="shared" si="12"/>
        <v>0</v>
      </c>
      <c r="G62" s="83">
        <f t="shared" si="10"/>
        <v>0</v>
      </c>
      <c r="H62" s="84">
        <f t="shared" si="13"/>
        <v>0</v>
      </c>
      <c r="I62" s="91">
        <f t="shared" si="11"/>
        <v>0</v>
      </c>
      <c r="J62" s="92">
        <f>C62*I62</f>
        <v>0</v>
      </c>
    </row>
    <row r="63" spans="2:11" ht="15" thickBot="1" x14ac:dyDescent="0.4">
      <c r="B63" s="69" t="s">
        <v>81</v>
      </c>
      <c r="C63" s="73"/>
      <c r="D63" s="46">
        <f>IF(IF($C$4="Privado",1,0)=1,VLOOKUP(B63,'Piezas Sanitarias'!$B$4:$F$20,4,FALSE),VLOOKUP(B63,'Piezas Sanitarias'!$B$4:$F$20,5,FALSE))</f>
        <v>0</v>
      </c>
      <c r="E63" s="76" t="s">
        <v>80</v>
      </c>
      <c r="F63" s="64">
        <f t="shared" si="12"/>
        <v>0</v>
      </c>
      <c r="G63" s="85">
        <f t="shared" si="10"/>
        <v>0</v>
      </c>
      <c r="H63" s="86">
        <f>C63*G63</f>
        <v>0</v>
      </c>
      <c r="I63" s="93">
        <f t="shared" si="11"/>
        <v>0</v>
      </c>
      <c r="J63" s="94">
        <f>C63*I63</f>
        <v>0</v>
      </c>
    </row>
    <row r="64" spans="2:11" ht="15.5" x14ac:dyDescent="0.35">
      <c r="B64" s="1"/>
      <c r="C64" s="52"/>
      <c r="D64" s="53" t="s">
        <v>1</v>
      </c>
      <c r="E64" s="53"/>
      <c r="F64" s="77">
        <f>SUM(F54:F63)</f>
        <v>8</v>
      </c>
      <c r="G64" s="54"/>
      <c r="H64" s="77">
        <f>SUM(H54:H63)</f>
        <v>7.25</v>
      </c>
      <c r="I64" s="54"/>
      <c r="J64" s="77">
        <f>SUM(J54:J63)</f>
        <v>2.25</v>
      </c>
      <c r="K64" s="54"/>
    </row>
    <row r="65" spans="2:11" ht="16.5" x14ac:dyDescent="0.35">
      <c r="B65" s="1"/>
      <c r="C65" s="1"/>
      <c r="D65" s="1" t="s">
        <v>2</v>
      </c>
      <c r="E65" s="1"/>
      <c r="F65" s="78">
        <f>(IFERROR(
IF($C$3="Tanques",
   IF(F64&lt;100,
      0.13*POWER(F64,0.669),
      0.0145*F64+1.39-0.00000283*POWER(F64,2)
   ),
   IF($C$3="Fluxometros",
      IF(F64&lt;150,
         0.68*POWER(F64,0.4),
         0.0122*F64+3.37-0.00000215*POWER(F64,2)
      )
   )
),
0))/1000</f>
        <v>5.2252918662036845E-4</v>
      </c>
      <c r="G65" s="56" t="s">
        <v>37</v>
      </c>
      <c r="H65" s="78">
        <f>(IFERROR(
IF($C$3="Tanques",
   IF(H64&lt;100,
      0.13*POWER(H64,0.669),
      0.0145*H64+1.39-0.00000283*POWER(H64,2)
   ),
   IF($C$3="Fluxometros",
      IF(H64&lt;150,
         0.68*POWER(H64,0.4),
         0.0122*H64+3.37-0.00000215*POWER(H64,2)
      )
   )
),
0))/1000</f>
        <v>4.8922594262841405E-4</v>
      </c>
      <c r="I65" s="56" t="s">
        <v>37</v>
      </c>
      <c r="J65" s="78">
        <f>(IFERROR(
IF($C$3="Tanques",
   IF(J64&lt;100,
      0.13*POWER(J64,0.669),
      0.0145*J64+1.39-0.00000283*POWER(J64,2)
   ),
   IF($C$3="Fluxometros",
      IF(J64&lt;150,
         0.68*POWER(J64,0.4),
         0.0122*J64+3.37-0.00000215*POWER(J64,2)
      )
   )
),
0))/1000</f>
        <v>2.2364204607961224E-4</v>
      </c>
      <c r="K65" s="56" t="s">
        <v>37</v>
      </c>
    </row>
    <row r="66" spans="2:11" ht="15.5" x14ac:dyDescent="0.35">
      <c r="C66" s="1"/>
      <c r="F66" s="95">
        <f>(IFERROR(
IF($C$3="Tanques",
   IF(F64&lt;100,
      0.13*POWER(F64,0.669),
      0.0145*F64+1.39-0.00000283*POWER(F64,2)
   ),
   IF($C$3="Fluxometros",
      IF(F64&lt;150,
         0.68*POWER(F64,0.4),
         0.0122*F64+3.37-0.00000215*POWER(F64,2)
      )
   )
),
0))</f>
        <v>0.5225291866203684</v>
      </c>
      <c r="G66" s="55" t="s">
        <v>36</v>
      </c>
      <c r="H66" s="95">
        <f>(IFERROR(
IF($C$3="Tanques",
   IF(H64&lt;100,
      0.13*POWER(H64,0.669),
      0.0145*H64+1.39-0.00000283*POWER(H64,2)
   ),
   IF($C$3="Fluxometros",
      IF(H64&lt;150,
         0.68*POWER(H64,0.4),
         0.0122*H64+3.37-0.00000215*POWER(H64,2)
      )
   )
),
0))</f>
        <v>0.48922594262841407</v>
      </c>
      <c r="I66" s="55" t="s">
        <v>36</v>
      </c>
      <c r="J66" s="95">
        <f>(IFERROR(
IF($C$3="Tanques",
   IF(J64&lt;100,
      0.13*POWER(J64,0.669),
      0.0145*J64+1.39-0.00000283*POWER(J64,2)
   ),
   IF($C$3="Fluxometros",
      IF(J64&lt;150,
         0.68*POWER(J64,0.4),
         0.0122*J64+3.37-0.00000215*POWER(J64,2)
      )
   )
),
0))</f>
        <v>0.22364204607961224</v>
      </c>
      <c r="K66" s="55" t="s">
        <v>36</v>
      </c>
    </row>
    <row r="70" spans="2:11" x14ac:dyDescent="0.35">
      <c r="B70" s="47" t="s">
        <v>82</v>
      </c>
    </row>
    <row r="72" spans="2:11" ht="15.5" x14ac:dyDescent="0.35">
      <c r="B72" s="96" t="s">
        <v>38</v>
      </c>
      <c r="C72" s="96"/>
      <c r="D72" s="96"/>
      <c r="E72" s="96"/>
      <c r="F72" s="96"/>
      <c r="G72" s="96"/>
      <c r="H72" s="96"/>
      <c r="I72" s="96"/>
      <c r="J72" s="96"/>
    </row>
    <row r="73" spans="2:11" x14ac:dyDescent="0.35">
      <c r="B73" s="1" t="s">
        <v>74</v>
      </c>
      <c r="C73" s="66" t="s">
        <v>79</v>
      </c>
      <c r="D73" s="50"/>
      <c r="E73" s="50"/>
      <c r="F73" s="50"/>
      <c r="G73" s="50"/>
      <c r="H73" s="50"/>
      <c r="I73" s="50"/>
      <c r="J73" s="50"/>
    </row>
    <row r="74" spans="2:11" x14ac:dyDescent="0.35">
      <c r="B74" s="1" t="s">
        <v>72</v>
      </c>
      <c r="C74" s="66" t="s">
        <v>73</v>
      </c>
      <c r="D74" s="50"/>
      <c r="E74" s="50"/>
      <c r="F74" s="50"/>
      <c r="G74" s="50"/>
      <c r="H74" s="50"/>
      <c r="I74" s="50"/>
      <c r="J74" s="50"/>
    </row>
    <row r="75" spans="2:11" ht="16" thickBot="1" x14ac:dyDescent="0.4">
      <c r="B75" s="48"/>
      <c r="C75" s="49"/>
      <c r="D75" s="50"/>
      <c r="E75" s="50"/>
      <c r="F75" s="50"/>
      <c r="G75" s="50"/>
      <c r="H75" s="50"/>
      <c r="I75" s="50"/>
      <c r="J75" s="50"/>
    </row>
    <row r="76" spans="2:11" ht="31.5" thickBot="1" x14ac:dyDescent="0.4">
      <c r="B76" s="51" t="s">
        <v>0</v>
      </c>
      <c r="C76" s="51" t="s">
        <v>71</v>
      </c>
      <c r="D76" s="65" t="s">
        <v>69</v>
      </c>
      <c r="E76" s="65" t="s">
        <v>75</v>
      </c>
      <c r="F76" s="61" t="s">
        <v>70</v>
      </c>
      <c r="G76" s="79" t="s">
        <v>69</v>
      </c>
      <c r="H76" s="80" t="s">
        <v>77</v>
      </c>
      <c r="I76" s="87" t="s">
        <v>69</v>
      </c>
      <c r="J76" s="88" t="s">
        <v>78</v>
      </c>
    </row>
    <row r="77" spans="2:11" x14ac:dyDescent="0.35">
      <c r="B77" s="67" t="s">
        <v>55</v>
      </c>
      <c r="C77" s="70">
        <v>1</v>
      </c>
      <c r="D77" s="44">
        <f>IF(IF($C$4="Privado",1,0)=1,VLOOKUP(B77,'Piezas Sanitarias'!$B$4:$F$20,4,FALSE),VLOOKUP(B77,'Piezas Sanitarias'!$B$4:$F$20,5,FALSE))</f>
        <v>3</v>
      </c>
      <c r="E77" s="74" t="s">
        <v>80</v>
      </c>
      <c r="F77" s="62">
        <f>C77*D77</f>
        <v>3</v>
      </c>
      <c r="G77" s="81">
        <f>IF(E77="Fría",D77,D77*3/4)</f>
        <v>3</v>
      </c>
      <c r="H77" s="82">
        <f>C77*G77</f>
        <v>3</v>
      </c>
      <c r="I77" s="89">
        <f>IF(E77="Fría",0,D77*3/4)</f>
        <v>0</v>
      </c>
      <c r="J77" s="90">
        <f>C77*I77</f>
        <v>0</v>
      </c>
    </row>
    <row r="78" spans="2:11" x14ac:dyDescent="0.35">
      <c r="B78" s="68" t="s">
        <v>60</v>
      </c>
      <c r="C78" s="71">
        <v>1</v>
      </c>
      <c r="D78" s="45">
        <f>IF(IF($C$4="Privado",1,0)=1,VLOOKUP(B78,'Piezas Sanitarias'!$B$4:$F$20,4,FALSE),VLOOKUP(B78,'Piezas Sanitarias'!$B$4:$F$20,5,FALSE))</f>
        <v>1</v>
      </c>
      <c r="E78" s="75" t="s">
        <v>76</v>
      </c>
      <c r="F78" s="63">
        <f>C78*D78</f>
        <v>1</v>
      </c>
      <c r="G78" s="83">
        <f t="shared" ref="G78:G86" si="15">IF(E78="Fría",D78,D78*3/4)</f>
        <v>0.75</v>
      </c>
      <c r="H78" s="84">
        <f>C78*G78</f>
        <v>0.75</v>
      </c>
      <c r="I78" s="91">
        <f t="shared" ref="I78:I86" si="16">IF(E78="Fría",0,D78*3/4)</f>
        <v>0.75</v>
      </c>
      <c r="J78" s="92">
        <f>C78*I78</f>
        <v>0.75</v>
      </c>
    </row>
    <row r="79" spans="2:11" x14ac:dyDescent="0.35">
      <c r="B79" s="68" t="s">
        <v>51</v>
      </c>
      <c r="C79" s="71">
        <v>0</v>
      </c>
      <c r="D79" s="45">
        <f>IF(IF($C$4="Privado",1,0)=1,VLOOKUP(B79,'Piezas Sanitarias'!$B$4:$F$20,4,FALSE),VLOOKUP(B79,'Piezas Sanitarias'!$B$4:$F$20,5,FALSE))</f>
        <v>2</v>
      </c>
      <c r="E79" s="75" t="s">
        <v>76</v>
      </c>
      <c r="F79" s="63">
        <f t="shared" ref="F79:F86" si="17">C79*D79</f>
        <v>0</v>
      </c>
      <c r="G79" s="83">
        <f t="shared" si="15"/>
        <v>1.5</v>
      </c>
      <c r="H79" s="84">
        <f t="shared" ref="H79:H85" si="18">C79*G79</f>
        <v>0</v>
      </c>
      <c r="I79" s="91">
        <f t="shared" si="16"/>
        <v>1.5</v>
      </c>
      <c r="J79" s="92">
        <f>C79*I79</f>
        <v>0</v>
      </c>
    </row>
    <row r="80" spans="2:11" x14ac:dyDescent="0.35">
      <c r="B80" s="68" t="s">
        <v>68</v>
      </c>
      <c r="C80" s="71">
        <v>0</v>
      </c>
      <c r="D80" s="45">
        <f>IF(IF($C$4="Privado",1,0)=1,VLOOKUP(B80,'Piezas Sanitarias'!$B$4:$F$20,4,FALSE),VLOOKUP(B80,'Piezas Sanitarias'!$B$4:$F$20,5,FALSE))</f>
        <v>2</v>
      </c>
      <c r="E80" s="75" t="s">
        <v>80</v>
      </c>
      <c r="F80" s="63">
        <f t="shared" si="17"/>
        <v>0</v>
      </c>
      <c r="G80" s="83">
        <f t="shared" si="15"/>
        <v>2</v>
      </c>
      <c r="H80" s="84">
        <f t="shared" si="18"/>
        <v>0</v>
      </c>
      <c r="I80" s="91">
        <f t="shared" si="16"/>
        <v>0</v>
      </c>
      <c r="J80" s="92">
        <f t="shared" ref="J80:J83" si="19">C80*I80</f>
        <v>0</v>
      </c>
    </row>
    <row r="81" spans="2:11" x14ac:dyDescent="0.35">
      <c r="B81" s="68" t="s">
        <v>52</v>
      </c>
      <c r="C81" s="71">
        <v>2</v>
      </c>
      <c r="D81" s="45">
        <f>IF(IF($C$4="Privado",1,0)=1,VLOOKUP(B81,'Piezas Sanitarias'!$B$4:$F$20,4,FALSE),VLOOKUP(B81,'Piezas Sanitarias'!$B$4:$F$20,5,FALSE))</f>
        <v>2</v>
      </c>
      <c r="E81" s="75" t="s">
        <v>76</v>
      </c>
      <c r="F81" s="63">
        <f t="shared" si="17"/>
        <v>4</v>
      </c>
      <c r="G81" s="83">
        <f t="shared" si="15"/>
        <v>1.5</v>
      </c>
      <c r="H81" s="84">
        <f t="shared" si="18"/>
        <v>3</v>
      </c>
      <c r="I81" s="91">
        <f t="shared" si="16"/>
        <v>1.5</v>
      </c>
      <c r="J81" s="92">
        <f t="shared" si="19"/>
        <v>3</v>
      </c>
    </row>
    <row r="82" spans="2:11" x14ac:dyDescent="0.35">
      <c r="B82" s="68" t="s">
        <v>81</v>
      </c>
      <c r="C82" s="71"/>
      <c r="D82" s="45">
        <f>IF(IF($C$4="Privado",1,0)=1,VLOOKUP(B82,'Piezas Sanitarias'!$B$4:$F$20,4,FALSE),VLOOKUP(B82,'Piezas Sanitarias'!$B$4:$F$20,5,FALSE))</f>
        <v>0</v>
      </c>
      <c r="E82" s="75" t="s">
        <v>76</v>
      </c>
      <c r="F82" s="63">
        <f t="shared" si="17"/>
        <v>0</v>
      </c>
      <c r="G82" s="83">
        <f t="shared" si="15"/>
        <v>0</v>
      </c>
      <c r="H82" s="84">
        <f t="shared" si="18"/>
        <v>0</v>
      </c>
      <c r="I82" s="91">
        <f t="shared" si="16"/>
        <v>0</v>
      </c>
      <c r="J82" s="92">
        <f t="shared" si="19"/>
        <v>0</v>
      </c>
    </row>
    <row r="83" spans="2:11" x14ac:dyDescent="0.35">
      <c r="B83" s="68" t="s">
        <v>81</v>
      </c>
      <c r="C83" s="71"/>
      <c r="D83" s="45">
        <f>IF(IF($C$4="Privado",1,0)=1,VLOOKUP(B83,'Piezas Sanitarias'!$B$4:$F$20,4,FALSE),VLOOKUP(B83,'Piezas Sanitarias'!$B$4:$F$20,5,FALSE))</f>
        <v>0</v>
      </c>
      <c r="E83" s="75" t="s">
        <v>76</v>
      </c>
      <c r="F83" s="63">
        <f t="shared" si="17"/>
        <v>0</v>
      </c>
      <c r="G83" s="83">
        <f t="shared" si="15"/>
        <v>0</v>
      </c>
      <c r="H83" s="84">
        <f t="shared" si="18"/>
        <v>0</v>
      </c>
      <c r="I83" s="91">
        <f t="shared" si="16"/>
        <v>0</v>
      </c>
      <c r="J83" s="92">
        <f t="shared" si="19"/>
        <v>0</v>
      </c>
    </row>
    <row r="84" spans="2:11" x14ac:dyDescent="0.35">
      <c r="B84" s="68" t="s">
        <v>81</v>
      </c>
      <c r="C84" s="72"/>
      <c r="D84" s="45">
        <f>IF(IF($C$4="Privado",1,0)=1,VLOOKUP(B84,'Piezas Sanitarias'!$B$4:$F$20,4,FALSE),VLOOKUP(B84,'Piezas Sanitarias'!$B$4:$F$20,5,FALSE))</f>
        <v>0</v>
      </c>
      <c r="E84" s="75" t="s">
        <v>80</v>
      </c>
      <c r="F84" s="63">
        <f t="shared" si="17"/>
        <v>0</v>
      </c>
      <c r="G84" s="83">
        <f t="shared" si="15"/>
        <v>0</v>
      </c>
      <c r="H84" s="84">
        <f t="shared" si="18"/>
        <v>0</v>
      </c>
      <c r="I84" s="91">
        <f t="shared" si="16"/>
        <v>0</v>
      </c>
      <c r="J84" s="92">
        <f>C84*I84</f>
        <v>0</v>
      </c>
    </row>
    <row r="85" spans="2:11" x14ac:dyDescent="0.35">
      <c r="B85" s="68" t="s">
        <v>81</v>
      </c>
      <c r="C85" s="72"/>
      <c r="D85" s="45">
        <f>IF(IF($C$4="Privado",1,0)=1,VLOOKUP(B85,'Piezas Sanitarias'!$B$4:$F$20,4,FALSE),VLOOKUP(B85,'Piezas Sanitarias'!$B$4:$F$20,5,FALSE))</f>
        <v>0</v>
      </c>
      <c r="E85" s="75" t="s">
        <v>80</v>
      </c>
      <c r="F85" s="63">
        <f t="shared" si="17"/>
        <v>0</v>
      </c>
      <c r="G85" s="83">
        <f t="shared" si="15"/>
        <v>0</v>
      </c>
      <c r="H85" s="84">
        <f t="shared" si="18"/>
        <v>0</v>
      </c>
      <c r="I85" s="91">
        <f t="shared" si="16"/>
        <v>0</v>
      </c>
      <c r="J85" s="92">
        <f>C85*I85</f>
        <v>0</v>
      </c>
    </row>
    <row r="86" spans="2:11" ht="15" thickBot="1" x14ac:dyDescent="0.4">
      <c r="B86" s="69" t="s">
        <v>81</v>
      </c>
      <c r="C86" s="73"/>
      <c r="D86" s="46">
        <f>IF(IF($C$4="Privado",1,0)=1,VLOOKUP(B86,'Piezas Sanitarias'!$B$4:$F$20,4,FALSE),VLOOKUP(B86,'Piezas Sanitarias'!$B$4:$F$20,5,FALSE))</f>
        <v>0</v>
      </c>
      <c r="E86" s="76" t="s">
        <v>80</v>
      </c>
      <c r="F86" s="64">
        <f t="shared" si="17"/>
        <v>0</v>
      </c>
      <c r="G86" s="85">
        <f t="shared" si="15"/>
        <v>0</v>
      </c>
      <c r="H86" s="86">
        <f>C86*G86</f>
        <v>0</v>
      </c>
      <c r="I86" s="93">
        <f t="shared" si="16"/>
        <v>0</v>
      </c>
      <c r="J86" s="94">
        <f>C86*I86</f>
        <v>0</v>
      </c>
    </row>
    <row r="87" spans="2:11" ht="15.5" x14ac:dyDescent="0.35">
      <c r="B87" s="1"/>
      <c r="C87" s="52"/>
      <c r="D87" s="53" t="s">
        <v>1</v>
      </c>
      <c r="E87" s="53"/>
      <c r="F87" s="77">
        <f>SUM(F77:F86)</f>
        <v>8</v>
      </c>
      <c r="G87" s="54"/>
      <c r="H87" s="77">
        <f>SUM(H77:H86)</f>
        <v>6.75</v>
      </c>
      <c r="I87" s="54"/>
      <c r="J87" s="77">
        <f>SUM(J77:J86)</f>
        <v>3.75</v>
      </c>
      <c r="K87" s="54"/>
    </row>
    <row r="88" spans="2:11" ht="16.5" x14ac:dyDescent="0.35">
      <c r="B88" s="1"/>
      <c r="C88" s="1"/>
      <c r="D88" s="1" t="s">
        <v>2</v>
      </c>
      <c r="E88" s="1"/>
      <c r="F88" s="78">
        <f>(IFERROR(
IF($C$3="Tanques",
   IF(F87&lt;100,
      0.13*POWER(F87,0.669),
      0.0145*F87+1.39-0.00000283*POWER(F87,2)
   ),
   IF($C$3="Fluxometros",
      IF(F87&lt;150,
         0.68*POWER(F87,0.4),
         0.0122*F87+3.37-0.00000215*POWER(F87,2)
      )
   )
),
0))/1000</f>
        <v>5.2252918662036845E-4</v>
      </c>
      <c r="G88" s="56" t="s">
        <v>37</v>
      </c>
      <c r="H88" s="78">
        <f>(IFERROR(
IF($C$3="Tanques",
   IF(H87&lt;100,
      0.13*POWER(H87,0.669),
      0.0145*H87+1.39-0.00000283*POWER(H87,2)
   ),
   IF($C$3="Fluxometros",
      IF(H87&lt;150,
         0.68*POWER(H87,0.4),
         0.0122*H87+3.37-0.00000215*POWER(H87,2)
      )
   )
),
0))/1000</f>
        <v>4.6638822410227616E-4</v>
      </c>
      <c r="I88" s="56" t="s">
        <v>37</v>
      </c>
      <c r="J88" s="78">
        <f>(IFERROR(
IF($C$3="Tanques",
   IF(J87&lt;100,
      0.13*POWER(J87,0.669),
      0.0145*J87+1.39-0.00000283*POWER(J87,2)
   ),
   IF($C$3="Fluxometros",
      IF(J87&lt;150,
         0.68*POWER(J87,0.4),
         0.0122*J87+3.37-0.00000215*POWER(J87,2)
      )
   )
),
0))/1000</f>
        <v>3.1475328426949371E-4</v>
      </c>
      <c r="K88" s="56" t="s">
        <v>37</v>
      </c>
    </row>
    <row r="89" spans="2:11" ht="15.5" x14ac:dyDescent="0.35">
      <c r="C89" s="1"/>
      <c r="F89" s="95">
        <f>(IFERROR(
IF($C$3="Tanques",
   IF(F87&lt;100,
      0.13*POWER(F87,0.669),
      0.0145*F87+1.39-0.00000283*POWER(F87,2)
   ),
   IF($C$3="Fluxometros",
      IF(F87&lt;150,
         0.68*POWER(F87,0.4),
         0.0122*F87+3.37-0.00000215*POWER(F87,2)
      )
   )
),
0))</f>
        <v>0.5225291866203684</v>
      </c>
      <c r="G89" s="55" t="s">
        <v>36</v>
      </c>
      <c r="H89" s="95">
        <f>(IFERROR(
IF($C$3="Tanques",
   IF(H87&lt;100,
      0.13*POWER(H87,0.669),
      0.0145*H87+1.39-0.00000283*POWER(H87,2)
   ),
   IF($C$3="Fluxometros",
      IF(H87&lt;150,
         0.68*POWER(H87,0.4),
         0.0122*H87+3.37-0.00000215*POWER(H87,2)
      )
   )
),
0))</f>
        <v>0.46638822410227615</v>
      </c>
      <c r="I89" s="55" t="s">
        <v>36</v>
      </c>
      <c r="J89" s="95">
        <f>(IFERROR(
IF($C$3="Tanques",
   IF(J87&lt;100,
      0.13*POWER(J87,0.669),
      0.0145*J87+1.39-0.00000283*POWER(J87,2)
   ),
   IF($C$3="Fluxometros",
      IF(J87&lt;150,
         0.68*POWER(J87,0.4),
         0.0122*J87+3.37-0.00000215*POWER(J87,2)
      )
   )
),
0))</f>
        <v>0.31475328426949373</v>
      </c>
      <c r="K89" s="55" t="s">
        <v>36</v>
      </c>
    </row>
    <row r="93" spans="2:11" x14ac:dyDescent="0.35">
      <c r="B93" s="47" t="s">
        <v>28</v>
      </c>
    </row>
    <row r="95" spans="2:11" ht="15.5" x14ac:dyDescent="0.35">
      <c r="B95" s="96" t="s">
        <v>38</v>
      </c>
      <c r="C95" s="96"/>
      <c r="D95" s="96"/>
      <c r="E95" s="96"/>
      <c r="F95" s="96"/>
      <c r="G95" s="96"/>
      <c r="H95" s="96"/>
      <c r="I95" s="96"/>
      <c r="J95" s="96"/>
    </row>
    <row r="96" spans="2:11" x14ac:dyDescent="0.35">
      <c r="B96" s="1" t="s">
        <v>74</v>
      </c>
      <c r="C96" s="66" t="s">
        <v>79</v>
      </c>
      <c r="D96" s="50"/>
      <c r="E96" s="50"/>
      <c r="F96" s="50"/>
      <c r="G96" s="50"/>
      <c r="H96" s="50"/>
      <c r="I96" s="50"/>
      <c r="J96" s="50"/>
    </row>
    <row r="97" spans="2:11" x14ac:dyDescent="0.35">
      <c r="B97" s="1" t="s">
        <v>72</v>
      </c>
      <c r="C97" s="66" t="s">
        <v>73</v>
      </c>
      <c r="D97" s="50"/>
      <c r="E97" s="50"/>
      <c r="F97" s="50"/>
      <c r="G97" s="50"/>
      <c r="H97" s="50"/>
      <c r="I97" s="50"/>
      <c r="J97" s="50"/>
    </row>
    <row r="98" spans="2:11" ht="16" thickBot="1" x14ac:dyDescent="0.4">
      <c r="B98" s="48"/>
      <c r="C98" s="49"/>
      <c r="D98" s="50"/>
      <c r="E98" s="50"/>
      <c r="F98" s="50"/>
      <c r="G98" s="50"/>
      <c r="H98" s="50"/>
      <c r="I98" s="50"/>
      <c r="J98" s="50"/>
    </row>
    <row r="99" spans="2:11" ht="31.5" thickBot="1" x14ac:dyDescent="0.4">
      <c r="B99" s="51" t="s">
        <v>0</v>
      </c>
      <c r="C99" s="51" t="s">
        <v>71</v>
      </c>
      <c r="D99" s="65" t="s">
        <v>69</v>
      </c>
      <c r="E99" s="65" t="s">
        <v>75</v>
      </c>
      <c r="F99" s="61" t="s">
        <v>70</v>
      </c>
      <c r="G99" s="79" t="s">
        <v>69</v>
      </c>
      <c r="H99" s="80" t="s">
        <v>77</v>
      </c>
      <c r="I99" s="87" t="s">
        <v>69</v>
      </c>
      <c r="J99" s="88" t="s">
        <v>78</v>
      </c>
    </row>
    <row r="100" spans="2:11" x14ac:dyDescent="0.35">
      <c r="B100" s="67" t="s">
        <v>55</v>
      </c>
      <c r="C100" s="70">
        <v>1</v>
      </c>
      <c r="D100" s="44">
        <f>IF(IF($C$4="Privado",1,0)=1,VLOOKUP(B100,'Piezas Sanitarias'!$B$4:$F$20,4,FALSE),VLOOKUP(B100,'Piezas Sanitarias'!$B$4:$F$20,5,FALSE))</f>
        <v>3</v>
      </c>
      <c r="E100" s="74" t="s">
        <v>80</v>
      </c>
      <c r="F100" s="62">
        <f>C100*D100</f>
        <v>3</v>
      </c>
      <c r="G100" s="81">
        <f>IF(E100="Fría",D100,D100*3/4)</f>
        <v>3</v>
      </c>
      <c r="H100" s="82">
        <f>C100*G100</f>
        <v>3</v>
      </c>
      <c r="I100" s="89">
        <f>IF(E100="Fría",0,D100*3/4)</f>
        <v>0</v>
      </c>
      <c r="J100" s="90">
        <f>C100*I100</f>
        <v>0</v>
      </c>
    </row>
    <row r="101" spans="2:11" x14ac:dyDescent="0.35">
      <c r="B101" s="68" t="s">
        <v>60</v>
      </c>
      <c r="C101" s="71">
        <v>1</v>
      </c>
      <c r="D101" s="45">
        <f>IF(IF($C$4="Privado",1,0)=1,VLOOKUP(B101,'Piezas Sanitarias'!$B$4:$F$20,4,FALSE),VLOOKUP(B101,'Piezas Sanitarias'!$B$4:$F$20,5,FALSE))</f>
        <v>1</v>
      </c>
      <c r="E101" s="75" t="s">
        <v>76</v>
      </c>
      <c r="F101" s="63">
        <f>C101*D101</f>
        <v>1</v>
      </c>
      <c r="G101" s="83">
        <f t="shared" ref="G101:G109" si="20">IF(E101="Fría",D101,D101*3/4)</f>
        <v>0.75</v>
      </c>
      <c r="H101" s="84">
        <f>C101*G101</f>
        <v>0.75</v>
      </c>
      <c r="I101" s="91">
        <f t="shared" ref="I101:I109" si="21">IF(E101="Fría",0,D101*3/4)</f>
        <v>0.75</v>
      </c>
      <c r="J101" s="92">
        <f>C101*I101</f>
        <v>0.75</v>
      </c>
    </row>
    <row r="102" spans="2:11" x14ac:dyDescent="0.35">
      <c r="B102" s="68" t="s">
        <v>51</v>
      </c>
      <c r="C102" s="71">
        <v>0</v>
      </c>
      <c r="D102" s="45">
        <f>IF(IF($C$4="Privado",1,0)=1,VLOOKUP(B102,'Piezas Sanitarias'!$B$4:$F$20,4,FALSE),VLOOKUP(B102,'Piezas Sanitarias'!$B$4:$F$20,5,FALSE))</f>
        <v>2</v>
      </c>
      <c r="E102" s="75" t="s">
        <v>76</v>
      </c>
      <c r="F102" s="63">
        <f t="shared" ref="F102:F109" si="22">C102*D102</f>
        <v>0</v>
      </c>
      <c r="G102" s="83">
        <f t="shared" si="20"/>
        <v>1.5</v>
      </c>
      <c r="H102" s="84">
        <f t="shared" ref="H102:H108" si="23">C102*G102</f>
        <v>0</v>
      </c>
      <c r="I102" s="91">
        <f t="shared" si="21"/>
        <v>1.5</v>
      </c>
      <c r="J102" s="92">
        <f>C102*I102</f>
        <v>0</v>
      </c>
    </row>
    <row r="103" spans="2:11" x14ac:dyDescent="0.35">
      <c r="B103" s="68" t="s">
        <v>68</v>
      </c>
      <c r="C103" s="71">
        <v>0</v>
      </c>
      <c r="D103" s="45">
        <f>IF(IF($C$4="Privado",1,0)=1,VLOOKUP(B103,'Piezas Sanitarias'!$B$4:$F$20,4,FALSE),VLOOKUP(B103,'Piezas Sanitarias'!$B$4:$F$20,5,FALSE))</f>
        <v>2</v>
      </c>
      <c r="E103" s="75" t="s">
        <v>80</v>
      </c>
      <c r="F103" s="63">
        <f t="shared" si="22"/>
        <v>0</v>
      </c>
      <c r="G103" s="83">
        <f t="shared" si="20"/>
        <v>2</v>
      </c>
      <c r="H103" s="84">
        <f t="shared" si="23"/>
        <v>0</v>
      </c>
      <c r="I103" s="91">
        <f t="shared" si="21"/>
        <v>0</v>
      </c>
      <c r="J103" s="92">
        <f t="shared" ref="J103:J106" si="24">C103*I103</f>
        <v>0</v>
      </c>
    </row>
    <row r="104" spans="2:11" x14ac:dyDescent="0.35">
      <c r="B104" s="68" t="s">
        <v>52</v>
      </c>
      <c r="C104" s="71">
        <v>0</v>
      </c>
      <c r="D104" s="45">
        <f>IF(IF($C$4="Privado",1,0)=1,VLOOKUP(B104,'Piezas Sanitarias'!$B$4:$F$20,4,FALSE),VLOOKUP(B104,'Piezas Sanitarias'!$B$4:$F$20,5,FALSE))</f>
        <v>2</v>
      </c>
      <c r="E104" s="75" t="s">
        <v>76</v>
      </c>
      <c r="F104" s="63">
        <f t="shared" si="22"/>
        <v>0</v>
      </c>
      <c r="G104" s="83">
        <f t="shared" si="20"/>
        <v>1.5</v>
      </c>
      <c r="H104" s="84">
        <f t="shared" si="23"/>
        <v>0</v>
      </c>
      <c r="I104" s="91">
        <f t="shared" si="21"/>
        <v>1.5</v>
      </c>
      <c r="J104" s="92">
        <f t="shared" si="24"/>
        <v>0</v>
      </c>
    </row>
    <row r="105" spans="2:11" x14ac:dyDescent="0.35">
      <c r="B105" s="68" t="s">
        <v>81</v>
      </c>
      <c r="C105" s="71"/>
      <c r="D105" s="45">
        <f>IF(IF($C$4="Privado",1,0)=1,VLOOKUP(B105,'Piezas Sanitarias'!$B$4:$F$20,4,FALSE),VLOOKUP(B105,'Piezas Sanitarias'!$B$4:$F$20,5,FALSE))</f>
        <v>0</v>
      </c>
      <c r="E105" s="75" t="s">
        <v>76</v>
      </c>
      <c r="F105" s="63">
        <f t="shared" si="22"/>
        <v>0</v>
      </c>
      <c r="G105" s="83">
        <f t="shared" si="20"/>
        <v>0</v>
      </c>
      <c r="H105" s="84">
        <f t="shared" si="23"/>
        <v>0</v>
      </c>
      <c r="I105" s="91">
        <f t="shared" si="21"/>
        <v>0</v>
      </c>
      <c r="J105" s="92">
        <f t="shared" si="24"/>
        <v>0</v>
      </c>
    </row>
    <row r="106" spans="2:11" x14ac:dyDescent="0.35">
      <c r="B106" s="68" t="s">
        <v>81</v>
      </c>
      <c r="C106" s="71"/>
      <c r="D106" s="45">
        <f>IF(IF($C$4="Privado",1,0)=1,VLOOKUP(B106,'Piezas Sanitarias'!$B$4:$F$20,4,FALSE),VLOOKUP(B106,'Piezas Sanitarias'!$B$4:$F$20,5,FALSE))</f>
        <v>0</v>
      </c>
      <c r="E106" s="75" t="s">
        <v>76</v>
      </c>
      <c r="F106" s="63">
        <f t="shared" si="22"/>
        <v>0</v>
      </c>
      <c r="G106" s="83">
        <f t="shared" si="20"/>
        <v>0</v>
      </c>
      <c r="H106" s="84">
        <f t="shared" si="23"/>
        <v>0</v>
      </c>
      <c r="I106" s="91">
        <f t="shared" si="21"/>
        <v>0</v>
      </c>
      <c r="J106" s="92">
        <f t="shared" si="24"/>
        <v>0</v>
      </c>
    </row>
    <row r="107" spans="2:11" x14ac:dyDescent="0.35">
      <c r="B107" s="68" t="s">
        <v>81</v>
      </c>
      <c r="C107" s="72"/>
      <c r="D107" s="45">
        <f>IF(IF($C$4="Privado",1,0)=1,VLOOKUP(B107,'Piezas Sanitarias'!$B$4:$F$20,4,FALSE),VLOOKUP(B107,'Piezas Sanitarias'!$B$4:$F$20,5,FALSE))</f>
        <v>0</v>
      </c>
      <c r="E107" s="75" t="s">
        <v>80</v>
      </c>
      <c r="F107" s="63">
        <f t="shared" si="22"/>
        <v>0</v>
      </c>
      <c r="G107" s="83">
        <f t="shared" si="20"/>
        <v>0</v>
      </c>
      <c r="H107" s="84">
        <f t="shared" si="23"/>
        <v>0</v>
      </c>
      <c r="I107" s="91">
        <f t="shared" si="21"/>
        <v>0</v>
      </c>
      <c r="J107" s="92">
        <f>C107*I107</f>
        <v>0</v>
      </c>
    </row>
    <row r="108" spans="2:11" x14ac:dyDescent="0.35">
      <c r="B108" s="68" t="s">
        <v>81</v>
      </c>
      <c r="C108" s="72"/>
      <c r="D108" s="45">
        <f>IF(IF($C$4="Privado",1,0)=1,VLOOKUP(B108,'Piezas Sanitarias'!$B$4:$F$20,4,FALSE),VLOOKUP(B108,'Piezas Sanitarias'!$B$4:$F$20,5,FALSE))</f>
        <v>0</v>
      </c>
      <c r="E108" s="75" t="s">
        <v>80</v>
      </c>
      <c r="F108" s="63">
        <f t="shared" si="22"/>
        <v>0</v>
      </c>
      <c r="G108" s="83">
        <f t="shared" si="20"/>
        <v>0</v>
      </c>
      <c r="H108" s="84">
        <f t="shared" si="23"/>
        <v>0</v>
      </c>
      <c r="I108" s="91">
        <f t="shared" si="21"/>
        <v>0</v>
      </c>
      <c r="J108" s="92">
        <f>C108*I108</f>
        <v>0</v>
      </c>
    </row>
    <row r="109" spans="2:11" ht="15" thickBot="1" x14ac:dyDescent="0.4">
      <c r="B109" s="69" t="s">
        <v>81</v>
      </c>
      <c r="C109" s="73"/>
      <c r="D109" s="46">
        <f>IF(IF($C$4="Privado",1,0)=1,VLOOKUP(B109,'Piezas Sanitarias'!$B$4:$F$20,4,FALSE),VLOOKUP(B109,'Piezas Sanitarias'!$B$4:$F$20,5,FALSE))</f>
        <v>0</v>
      </c>
      <c r="E109" s="76" t="s">
        <v>80</v>
      </c>
      <c r="F109" s="64">
        <f t="shared" si="22"/>
        <v>0</v>
      </c>
      <c r="G109" s="85">
        <f t="shared" si="20"/>
        <v>0</v>
      </c>
      <c r="H109" s="86">
        <f>C109*G109</f>
        <v>0</v>
      </c>
      <c r="I109" s="93">
        <f t="shared" si="21"/>
        <v>0</v>
      </c>
      <c r="J109" s="94">
        <f>C109*I109</f>
        <v>0</v>
      </c>
    </row>
    <row r="110" spans="2:11" ht="15.5" x14ac:dyDescent="0.35">
      <c r="B110" s="1"/>
      <c r="C110" s="52"/>
      <c r="D110" s="53" t="s">
        <v>1</v>
      </c>
      <c r="E110" s="53"/>
      <c r="F110" s="77">
        <f>SUM(F100:F109)</f>
        <v>4</v>
      </c>
      <c r="G110" s="54"/>
      <c r="H110" s="77">
        <f>SUM(H100:H109)</f>
        <v>3.75</v>
      </c>
      <c r="I110" s="54"/>
      <c r="J110" s="77">
        <f>SUM(J100:J109)</f>
        <v>0.75</v>
      </c>
      <c r="K110" s="54"/>
    </row>
    <row r="111" spans="2:11" ht="16.5" x14ac:dyDescent="0.35">
      <c r="B111" s="1"/>
      <c r="C111" s="1"/>
      <c r="D111" s="1" t="s">
        <v>2</v>
      </c>
      <c r="E111" s="1"/>
      <c r="F111" s="78">
        <f>(IFERROR(
IF($C$3="Tanques",
   IF(F110&lt;100,
      0.13*POWER(F110,0.669),
      0.0145*F110+1.39-0.00000283*POWER(F110,2)
   ),
   IF($C$3="Fluxometros",
      IF(F110&lt;150,
         0.68*POWER(F110,0.4),
         0.0122*F110+3.37-0.00000215*POWER(F110,2)
      )
   )
),
0))/1000</f>
        <v>3.286408055977298E-4</v>
      </c>
      <c r="G111" s="56" t="s">
        <v>37</v>
      </c>
      <c r="H111" s="78">
        <f>(IFERROR(
IF($C$3="Tanques",
   IF(H110&lt;100,
      0.13*POWER(H110,0.669),
      0.0145*H110+1.39-0.00000283*POWER(H110,2)
   ),
   IF($C$3="Fluxometros",
      IF(H110&lt;150,
         0.68*POWER(H110,0.4),
         0.0122*H110+3.37-0.00000215*POWER(H110,2)
      )
   )
),
0))/1000</f>
        <v>3.1475328426949371E-4</v>
      </c>
      <c r="I111" s="56" t="s">
        <v>37</v>
      </c>
      <c r="J111" s="78">
        <f>(IFERROR(
IF($C$3="Tanques",
   IF(J110&lt;100,
      0.13*POWER(J110,0.669),
      0.0145*J110+1.39-0.00000283*POWER(J110,2)
   ),
   IF($C$3="Fluxometros",
      IF(J110&lt;150,
         0.68*POWER(J110,0.4),
         0.0122*J110+3.37-0.00000215*POWER(J110,2)
      )
   )
),
0))/1000</f>
        <v>1.0724062527725242E-4</v>
      </c>
      <c r="K111" s="56" t="s">
        <v>37</v>
      </c>
    </row>
    <row r="112" spans="2:11" ht="15.5" x14ac:dyDescent="0.35">
      <c r="C112" s="1"/>
      <c r="F112" s="95">
        <f>(IFERROR(
IF($C$3="Tanques",
   IF(F110&lt;100,
      0.13*POWER(F110,0.669),
      0.0145*F110+1.39-0.00000283*POWER(F110,2)
   ),
   IF($C$3="Fluxometros",
      IF(F110&lt;150,
         0.68*POWER(F110,0.4),
         0.0122*F110+3.37-0.00000215*POWER(F110,2)
      )
   )
),
0))</f>
        <v>0.32864080559772979</v>
      </c>
      <c r="G112" s="55" t="s">
        <v>36</v>
      </c>
      <c r="H112" s="95">
        <f>(IFERROR(
IF($C$3="Tanques",
   IF(H110&lt;100,
      0.13*POWER(H110,0.669),
      0.0145*H110+1.39-0.00000283*POWER(H110,2)
   ),
   IF($C$3="Fluxometros",
      IF(H110&lt;150,
         0.68*POWER(H110,0.4),
         0.0122*H110+3.37-0.00000215*POWER(H110,2)
      )
   )
),
0))</f>
        <v>0.31475328426949373</v>
      </c>
      <c r="I112" s="55" t="s">
        <v>36</v>
      </c>
      <c r="J112" s="95">
        <f>(IFERROR(
IF($C$3="Tanques",
   IF(J110&lt;100,
      0.13*POWER(J110,0.669),
      0.0145*J110+1.39-0.00000283*POWER(J110,2)
   ),
   IF($C$3="Fluxometros",
      IF(J110&lt;150,
         0.68*POWER(J110,0.4),
         0.0122*J110+3.37-0.00000215*POWER(J110,2)
      )
   )
),
0))</f>
        <v>0.10724062527725242</v>
      </c>
      <c r="K112" s="55" t="s">
        <v>36</v>
      </c>
    </row>
    <row r="116" spans="2:10" x14ac:dyDescent="0.35">
      <c r="B116" s="47" t="s">
        <v>83</v>
      </c>
    </row>
    <row r="118" spans="2:10" ht="15.5" x14ac:dyDescent="0.35">
      <c r="B118" s="96" t="s">
        <v>38</v>
      </c>
      <c r="C118" s="96"/>
      <c r="D118" s="96"/>
      <c r="E118" s="96"/>
      <c r="F118" s="96"/>
      <c r="G118" s="96"/>
      <c r="H118" s="96"/>
      <c r="I118" s="96"/>
      <c r="J118" s="96"/>
    </row>
    <row r="119" spans="2:10" x14ac:dyDescent="0.35">
      <c r="B119" s="1" t="s">
        <v>74</v>
      </c>
      <c r="C119" s="66" t="s">
        <v>79</v>
      </c>
      <c r="D119" s="50"/>
      <c r="E119" s="50"/>
      <c r="F119" s="50"/>
      <c r="G119" s="50"/>
      <c r="H119" s="50"/>
      <c r="I119" s="50"/>
      <c r="J119" s="50"/>
    </row>
    <row r="120" spans="2:10" x14ac:dyDescent="0.35">
      <c r="B120" s="1" t="s">
        <v>72</v>
      </c>
      <c r="C120" s="66" t="s">
        <v>73</v>
      </c>
      <c r="D120" s="50"/>
      <c r="E120" s="50"/>
      <c r="F120" s="50"/>
      <c r="G120" s="50"/>
      <c r="H120" s="50"/>
      <c r="I120" s="50"/>
      <c r="J120" s="50"/>
    </row>
    <row r="121" spans="2:10" ht="16" thickBot="1" x14ac:dyDescent="0.4">
      <c r="B121" s="48"/>
      <c r="C121" s="49"/>
      <c r="D121" s="50"/>
      <c r="E121" s="50"/>
      <c r="F121" s="50"/>
      <c r="G121" s="50"/>
      <c r="H121" s="50"/>
      <c r="I121" s="50"/>
      <c r="J121" s="50"/>
    </row>
    <row r="122" spans="2:10" ht="31.5" thickBot="1" x14ac:dyDescent="0.4">
      <c r="B122" s="51" t="s">
        <v>0</v>
      </c>
      <c r="C122" s="51" t="s">
        <v>71</v>
      </c>
      <c r="D122" s="65" t="s">
        <v>69</v>
      </c>
      <c r="E122" s="65" t="s">
        <v>75</v>
      </c>
      <c r="F122" s="61" t="s">
        <v>70</v>
      </c>
      <c r="G122" s="79" t="s">
        <v>69</v>
      </c>
      <c r="H122" s="80" t="s">
        <v>77</v>
      </c>
      <c r="I122" s="87" t="s">
        <v>69</v>
      </c>
      <c r="J122" s="88" t="s">
        <v>78</v>
      </c>
    </row>
    <row r="123" spans="2:10" x14ac:dyDescent="0.35">
      <c r="B123" s="67" t="s">
        <v>55</v>
      </c>
      <c r="C123" s="70">
        <v>0</v>
      </c>
      <c r="D123" s="44">
        <f>IF(IF($C$4="Privado",1,0)=1,VLOOKUP(B123,'Piezas Sanitarias'!$B$4:$F$20,4,FALSE),VLOOKUP(B123,'Piezas Sanitarias'!$B$4:$F$20,5,FALSE))</f>
        <v>3</v>
      </c>
      <c r="E123" s="74" t="s">
        <v>80</v>
      </c>
      <c r="F123" s="62">
        <f>C123*D123</f>
        <v>0</v>
      </c>
      <c r="G123" s="81">
        <f>IF(E123="Fría",D123,D123*3/4)</f>
        <v>3</v>
      </c>
      <c r="H123" s="82">
        <f>C123*G123</f>
        <v>0</v>
      </c>
      <c r="I123" s="89">
        <f>IF(E123="Fría",0,D123*3/4)</f>
        <v>0</v>
      </c>
      <c r="J123" s="90">
        <f>C123*I123</f>
        <v>0</v>
      </c>
    </row>
    <row r="124" spans="2:10" x14ac:dyDescent="0.35">
      <c r="B124" s="68" t="s">
        <v>60</v>
      </c>
      <c r="C124" s="71">
        <v>0</v>
      </c>
      <c r="D124" s="45">
        <f>IF(IF($C$4="Privado",1,0)=1,VLOOKUP(B124,'Piezas Sanitarias'!$B$4:$F$20,4,FALSE),VLOOKUP(B124,'Piezas Sanitarias'!$B$4:$F$20,5,FALSE))</f>
        <v>1</v>
      </c>
      <c r="E124" s="75" t="s">
        <v>76</v>
      </c>
      <c r="F124" s="63">
        <f>C124*D124</f>
        <v>0</v>
      </c>
      <c r="G124" s="83">
        <f t="shared" ref="G124:G132" si="25">IF(E124="Fría",D124,D124*3/4)</f>
        <v>0.75</v>
      </c>
      <c r="H124" s="84">
        <f>C124*G124</f>
        <v>0</v>
      </c>
      <c r="I124" s="91">
        <f t="shared" ref="I124:I132" si="26">IF(E124="Fría",0,D124*3/4)</f>
        <v>0.75</v>
      </c>
      <c r="J124" s="92">
        <f>C124*I124</f>
        <v>0</v>
      </c>
    </row>
    <row r="125" spans="2:10" x14ac:dyDescent="0.35">
      <c r="B125" s="68" t="s">
        <v>51</v>
      </c>
      <c r="C125" s="71">
        <v>0</v>
      </c>
      <c r="D125" s="45">
        <f>IF(IF($C$4="Privado",1,0)=1,VLOOKUP(B125,'Piezas Sanitarias'!$B$4:$F$20,4,FALSE),VLOOKUP(B125,'Piezas Sanitarias'!$B$4:$F$20,5,FALSE))</f>
        <v>2</v>
      </c>
      <c r="E125" s="75" t="s">
        <v>76</v>
      </c>
      <c r="F125" s="63">
        <f t="shared" ref="F125:F132" si="27">C125*D125</f>
        <v>0</v>
      </c>
      <c r="G125" s="83">
        <f t="shared" si="25"/>
        <v>1.5</v>
      </c>
      <c r="H125" s="84">
        <f t="shared" ref="H125:H131" si="28">C125*G125</f>
        <v>0</v>
      </c>
      <c r="I125" s="91">
        <f t="shared" si="26"/>
        <v>1.5</v>
      </c>
      <c r="J125" s="92">
        <f>C125*I125</f>
        <v>0</v>
      </c>
    </row>
    <row r="126" spans="2:10" x14ac:dyDescent="0.35">
      <c r="B126" s="68" t="s">
        <v>68</v>
      </c>
      <c r="C126" s="71">
        <v>0</v>
      </c>
      <c r="D126" s="45">
        <f>IF(IF($C$4="Privado",1,0)=1,VLOOKUP(B126,'Piezas Sanitarias'!$B$4:$F$20,4,FALSE),VLOOKUP(B126,'Piezas Sanitarias'!$B$4:$F$20,5,FALSE))</f>
        <v>2</v>
      </c>
      <c r="E126" s="75" t="s">
        <v>80</v>
      </c>
      <c r="F126" s="63">
        <f t="shared" si="27"/>
        <v>0</v>
      </c>
      <c r="G126" s="83">
        <f t="shared" si="25"/>
        <v>2</v>
      </c>
      <c r="H126" s="84">
        <f t="shared" si="28"/>
        <v>0</v>
      </c>
      <c r="I126" s="91">
        <f t="shared" si="26"/>
        <v>0</v>
      </c>
      <c r="J126" s="92">
        <f t="shared" ref="J126:J129" si="29">C126*I126</f>
        <v>0</v>
      </c>
    </row>
    <row r="127" spans="2:10" x14ac:dyDescent="0.35">
      <c r="B127" s="68" t="s">
        <v>52</v>
      </c>
      <c r="C127" s="71">
        <v>2</v>
      </c>
      <c r="D127" s="45">
        <f>IF(IF($C$4="Privado",1,0)=1,VLOOKUP(B127,'Piezas Sanitarias'!$B$4:$F$20,4,FALSE),VLOOKUP(B127,'Piezas Sanitarias'!$B$4:$F$20,5,FALSE))</f>
        <v>2</v>
      </c>
      <c r="E127" s="75" t="s">
        <v>76</v>
      </c>
      <c r="F127" s="63">
        <f t="shared" si="27"/>
        <v>4</v>
      </c>
      <c r="G127" s="83">
        <f t="shared" si="25"/>
        <v>1.5</v>
      </c>
      <c r="H127" s="84">
        <f t="shared" si="28"/>
        <v>3</v>
      </c>
      <c r="I127" s="91">
        <f t="shared" si="26"/>
        <v>1.5</v>
      </c>
      <c r="J127" s="92">
        <f t="shared" si="29"/>
        <v>3</v>
      </c>
    </row>
    <row r="128" spans="2:10" x14ac:dyDescent="0.35">
      <c r="B128" s="68" t="s">
        <v>81</v>
      </c>
      <c r="C128" s="71"/>
      <c r="D128" s="45">
        <f>IF(IF($C$4="Privado",1,0)=1,VLOOKUP(B128,'Piezas Sanitarias'!$B$4:$F$20,4,FALSE),VLOOKUP(B128,'Piezas Sanitarias'!$B$4:$F$20,5,FALSE))</f>
        <v>0</v>
      </c>
      <c r="E128" s="75" t="s">
        <v>76</v>
      </c>
      <c r="F128" s="63">
        <f t="shared" si="27"/>
        <v>0</v>
      </c>
      <c r="G128" s="83">
        <f t="shared" si="25"/>
        <v>0</v>
      </c>
      <c r="H128" s="84">
        <f t="shared" si="28"/>
        <v>0</v>
      </c>
      <c r="I128" s="91">
        <f t="shared" si="26"/>
        <v>0</v>
      </c>
      <c r="J128" s="92">
        <f t="shared" si="29"/>
        <v>0</v>
      </c>
    </row>
    <row r="129" spans="2:11" x14ac:dyDescent="0.35">
      <c r="B129" s="68" t="s">
        <v>81</v>
      </c>
      <c r="C129" s="71"/>
      <c r="D129" s="45">
        <f>IF(IF($C$4="Privado",1,0)=1,VLOOKUP(B129,'Piezas Sanitarias'!$B$4:$F$20,4,FALSE),VLOOKUP(B129,'Piezas Sanitarias'!$B$4:$F$20,5,FALSE))</f>
        <v>0</v>
      </c>
      <c r="E129" s="75" t="s">
        <v>76</v>
      </c>
      <c r="F129" s="63">
        <f t="shared" si="27"/>
        <v>0</v>
      </c>
      <c r="G129" s="83">
        <f t="shared" si="25"/>
        <v>0</v>
      </c>
      <c r="H129" s="84">
        <f t="shared" si="28"/>
        <v>0</v>
      </c>
      <c r="I129" s="91">
        <f t="shared" si="26"/>
        <v>0</v>
      </c>
      <c r="J129" s="92">
        <f t="shared" si="29"/>
        <v>0</v>
      </c>
    </row>
    <row r="130" spans="2:11" x14ac:dyDescent="0.35">
      <c r="B130" s="68" t="s">
        <v>81</v>
      </c>
      <c r="C130" s="72"/>
      <c r="D130" s="45">
        <f>IF(IF($C$4="Privado",1,0)=1,VLOOKUP(B130,'Piezas Sanitarias'!$B$4:$F$20,4,FALSE),VLOOKUP(B130,'Piezas Sanitarias'!$B$4:$F$20,5,FALSE))</f>
        <v>0</v>
      </c>
      <c r="E130" s="75" t="s">
        <v>80</v>
      </c>
      <c r="F130" s="63">
        <f t="shared" si="27"/>
        <v>0</v>
      </c>
      <c r="G130" s="83">
        <f t="shared" si="25"/>
        <v>0</v>
      </c>
      <c r="H130" s="84">
        <f t="shared" si="28"/>
        <v>0</v>
      </c>
      <c r="I130" s="91">
        <f t="shared" si="26"/>
        <v>0</v>
      </c>
      <c r="J130" s="92">
        <f>C130*I130</f>
        <v>0</v>
      </c>
    </row>
    <row r="131" spans="2:11" x14ac:dyDescent="0.35">
      <c r="B131" s="68" t="s">
        <v>81</v>
      </c>
      <c r="C131" s="72"/>
      <c r="D131" s="45">
        <f>IF(IF($C$4="Privado",1,0)=1,VLOOKUP(B131,'Piezas Sanitarias'!$B$4:$F$20,4,FALSE),VLOOKUP(B131,'Piezas Sanitarias'!$B$4:$F$20,5,FALSE))</f>
        <v>0</v>
      </c>
      <c r="E131" s="75" t="s">
        <v>80</v>
      </c>
      <c r="F131" s="63">
        <f t="shared" si="27"/>
        <v>0</v>
      </c>
      <c r="G131" s="83">
        <f t="shared" si="25"/>
        <v>0</v>
      </c>
      <c r="H131" s="84">
        <f t="shared" si="28"/>
        <v>0</v>
      </c>
      <c r="I131" s="91">
        <f t="shared" si="26"/>
        <v>0</v>
      </c>
      <c r="J131" s="92">
        <f>C131*I131</f>
        <v>0</v>
      </c>
    </row>
    <row r="132" spans="2:11" ht="15" thickBot="1" x14ac:dyDescent="0.4">
      <c r="B132" s="69" t="s">
        <v>81</v>
      </c>
      <c r="C132" s="73"/>
      <c r="D132" s="46">
        <f>IF(IF($C$4="Privado",1,0)=1,VLOOKUP(B132,'Piezas Sanitarias'!$B$4:$F$20,4,FALSE),VLOOKUP(B132,'Piezas Sanitarias'!$B$4:$F$20,5,FALSE))</f>
        <v>0</v>
      </c>
      <c r="E132" s="76" t="s">
        <v>80</v>
      </c>
      <c r="F132" s="64">
        <f t="shared" si="27"/>
        <v>0</v>
      </c>
      <c r="G132" s="85">
        <f t="shared" si="25"/>
        <v>0</v>
      </c>
      <c r="H132" s="86">
        <f>C132*G132</f>
        <v>0</v>
      </c>
      <c r="I132" s="93">
        <f t="shared" si="26"/>
        <v>0</v>
      </c>
      <c r="J132" s="94">
        <f>C132*I132</f>
        <v>0</v>
      </c>
    </row>
    <row r="133" spans="2:11" ht="15.5" x14ac:dyDescent="0.35">
      <c r="B133" s="1"/>
      <c r="C133" s="52"/>
      <c r="D133" s="53" t="s">
        <v>1</v>
      </c>
      <c r="E133" s="53"/>
      <c r="F133" s="77">
        <f>SUM(F123:F132)</f>
        <v>4</v>
      </c>
      <c r="G133" s="54"/>
      <c r="H133" s="77">
        <f>SUM(H123:H132)</f>
        <v>3</v>
      </c>
      <c r="I133" s="54"/>
      <c r="J133" s="77">
        <f>SUM(J123:J132)</f>
        <v>3</v>
      </c>
      <c r="K133" s="54"/>
    </row>
    <row r="134" spans="2:11" ht="16.5" x14ac:dyDescent="0.35">
      <c r="B134" s="1"/>
      <c r="C134" s="1"/>
      <c r="D134" s="1" t="s">
        <v>2</v>
      </c>
      <c r="E134" s="1"/>
      <c r="F134" s="78">
        <f>(IFERROR(
IF($C$3="Tanques",
   IF(F133&lt;100,
      0.13*POWER(F133,0.669),
      0.0145*F133+1.39-0.00000283*POWER(F133,2)
   ),
   IF($C$3="Fluxometros",
      IF(F133&lt;150,
         0.68*POWER(F133,0.4),
         0.0122*F133+3.37-0.00000215*POWER(F133,2)
      )
   )
),
0))/1000</f>
        <v>3.286408055977298E-4</v>
      </c>
      <c r="G134" s="56" t="s">
        <v>37</v>
      </c>
      <c r="H134" s="78">
        <f>(IFERROR(
IF($C$3="Tanques",
   IF(H133&lt;100,
      0.13*POWER(H133,0.669),
      0.0145*H133+1.39-0.00000283*POWER(H133,2)
   ),
   IF($C$3="Fluxometros",
      IF(H133&lt;150,
         0.68*POWER(H133,0.4),
         0.0122*H133+3.37-0.00000215*POWER(H133,2)
      )
   )
),
0))/1000</f>
        <v>2.71104965260927E-4</v>
      </c>
      <c r="I134" s="56" t="s">
        <v>37</v>
      </c>
      <c r="J134" s="78">
        <f>(IFERROR(
IF($C$3="Tanques",
   IF(J133&lt;100,
      0.13*POWER(J133,0.669),
      0.0145*J133+1.39-0.00000283*POWER(J133,2)
   ),
   IF($C$3="Fluxometros",
      IF(J133&lt;150,
         0.68*POWER(J133,0.4),
         0.0122*J133+3.37-0.00000215*POWER(J133,2)
      )
   )
),
0))/1000</f>
        <v>2.71104965260927E-4</v>
      </c>
      <c r="K134" s="56" t="s">
        <v>37</v>
      </c>
    </row>
    <row r="135" spans="2:11" ht="15.5" x14ac:dyDescent="0.35">
      <c r="C135" s="1"/>
      <c r="F135" s="95">
        <f>(IFERROR(
IF($C$3="Tanques",
   IF(F133&lt;100,
      0.13*POWER(F133,0.669),
      0.0145*F133+1.39-0.00000283*POWER(F133,2)
   ),
   IF($C$3="Fluxometros",
      IF(F133&lt;150,
         0.68*POWER(F133,0.4),
         0.0122*F133+3.37-0.00000215*POWER(F133,2)
      )
   )
),
0))</f>
        <v>0.32864080559772979</v>
      </c>
      <c r="G135" s="55" t="s">
        <v>36</v>
      </c>
      <c r="H135" s="95">
        <f>(IFERROR(
IF($C$3="Tanques",
   IF(H133&lt;100,
      0.13*POWER(H133,0.669),
      0.0145*H133+1.39-0.00000283*POWER(H133,2)
   ),
   IF($C$3="Fluxometros",
      IF(H133&lt;150,
         0.68*POWER(H133,0.4),
         0.0122*H133+3.37-0.00000215*POWER(H133,2)
      )
   )
),
0))</f>
        <v>0.27110496526092698</v>
      </c>
      <c r="I135" s="55" t="s">
        <v>36</v>
      </c>
      <c r="J135" s="95">
        <f>(IFERROR(
IF($C$3="Tanques",
   IF(J133&lt;100,
      0.13*POWER(J133,0.669),
      0.0145*J133+1.39-0.00000283*POWER(J133,2)
   ),
   IF($C$3="Fluxometros",
      IF(J133&lt;150,
         0.68*POWER(J133,0.4),
         0.0122*J133+3.37-0.00000215*POWER(J133,2)
      )
   )
),
0))</f>
        <v>0.27110496526092698</v>
      </c>
      <c r="K135" s="55" t="s">
        <v>36</v>
      </c>
    </row>
    <row r="139" spans="2:11" x14ac:dyDescent="0.35">
      <c r="B139" s="47" t="s">
        <v>85</v>
      </c>
    </row>
    <row r="141" spans="2:11" ht="15.5" x14ac:dyDescent="0.35">
      <c r="B141" s="96" t="s">
        <v>38</v>
      </c>
      <c r="C141" s="96"/>
      <c r="D141" s="96"/>
      <c r="E141" s="96"/>
      <c r="F141" s="96"/>
      <c r="G141" s="96"/>
      <c r="H141" s="96"/>
      <c r="I141" s="96"/>
      <c r="J141" s="96"/>
    </row>
    <row r="142" spans="2:11" x14ac:dyDescent="0.35">
      <c r="B142" s="1" t="s">
        <v>74</v>
      </c>
      <c r="C142" s="66" t="s">
        <v>79</v>
      </c>
      <c r="D142" s="50"/>
      <c r="E142" s="50"/>
      <c r="F142" s="50"/>
      <c r="G142" s="50"/>
      <c r="H142" s="50"/>
      <c r="I142" s="50"/>
      <c r="J142" s="50"/>
    </row>
    <row r="143" spans="2:11" x14ac:dyDescent="0.35">
      <c r="B143" s="1" t="s">
        <v>72</v>
      </c>
      <c r="C143" s="66" t="s">
        <v>73</v>
      </c>
      <c r="D143" s="50"/>
      <c r="E143" s="50"/>
      <c r="F143" s="50"/>
      <c r="G143" s="50"/>
      <c r="H143" s="50"/>
      <c r="I143" s="50"/>
      <c r="J143" s="50"/>
    </row>
    <row r="144" spans="2:11" ht="16" thickBot="1" x14ac:dyDescent="0.4">
      <c r="B144" s="48"/>
      <c r="C144" s="49"/>
      <c r="D144" s="50"/>
      <c r="E144" s="50"/>
      <c r="F144" s="50"/>
      <c r="G144" s="50"/>
      <c r="H144" s="50"/>
      <c r="I144" s="50"/>
      <c r="J144" s="50"/>
    </row>
    <row r="145" spans="2:11" ht="31.5" thickBot="1" x14ac:dyDescent="0.4">
      <c r="B145" s="51" t="s">
        <v>0</v>
      </c>
      <c r="C145" s="51" t="s">
        <v>71</v>
      </c>
      <c r="D145" s="65" t="s">
        <v>69</v>
      </c>
      <c r="E145" s="65" t="s">
        <v>75</v>
      </c>
      <c r="F145" s="61" t="s">
        <v>70</v>
      </c>
      <c r="G145" s="79" t="s">
        <v>69</v>
      </c>
      <c r="H145" s="80" t="s">
        <v>77</v>
      </c>
      <c r="I145" s="87" t="s">
        <v>69</v>
      </c>
      <c r="J145" s="88" t="s">
        <v>78</v>
      </c>
    </row>
    <row r="146" spans="2:11" x14ac:dyDescent="0.35">
      <c r="B146" s="67" t="s">
        <v>55</v>
      </c>
      <c r="C146" s="70">
        <v>3</v>
      </c>
      <c r="D146" s="44">
        <f>IF(IF($C$4="Privado",1,0)=1,VLOOKUP(B146,'Piezas Sanitarias'!$B$4:$F$20,4,FALSE),VLOOKUP(B146,'Piezas Sanitarias'!$B$4:$F$20,5,FALSE))</f>
        <v>3</v>
      </c>
      <c r="E146" s="74" t="s">
        <v>80</v>
      </c>
      <c r="F146" s="62">
        <f>C146*D146</f>
        <v>9</v>
      </c>
      <c r="G146" s="81">
        <f>IF(E146="Fría",D146,D146*3/4)</f>
        <v>3</v>
      </c>
      <c r="H146" s="82">
        <f>C146*G146</f>
        <v>9</v>
      </c>
      <c r="I146" s="89">
        <f>IF(E146="Fría",0,D146*3/4)</f>
        <v>0</v>
      </c>
      <c r="J146" s="90">
        <f>C146*I146</f>
        <v>0</v>
      </c>
    </row>
    <row r="147" spans="2:11" x14ac:dyDescent="0.35">
      <c r="B147" s="68" t="s">
        <v>60</v>
      </c>
      <c r="C147" s="71">
        <v>3</v>
      </c>
      <c r="D147" s="45">
        <f>IF(IF($C$4="Privado",1,0)=1,VLOOKUP(B147,'Piezas Sanitarias'!$B$4:$F$20,4,FALSE),VLOOKUP(B147,'Piezas Sanitarias'!$B$4:$F$20,5,FALSE))</f>
        <v>1</v>
      </c>
      <c r="E147" s="75" t="s">
        <v>76</v>
      </c>
      <c r="F147" s="63">
        <f>C147*D147</f>
        <v>3</v>
      </c>
      <c r="G147" s="83">
        <f t="shared" ref="G147:G155" si="30">IF(E147="Fría",D147,D147*3/4)</f>
        <v>0.75</v>
      </c>
      <c r="H147" s="84">
        <f>C147*G147</f>
        <v>2.25</v>
      </c>
      <c r="I147" s="91">
        <f t="shared" ref="I147:I155" si="31">IF(E147="Fría",0,D147*3/4)</f>
        <v>0.75</v>
      </c>
      <c r="J147" s="92">
        <f>C147*I147</f>
        <v>2.25</v>
      </c>
    </row>
    <row r="148" spans="2:11" x14ac:dyDescent="0.35">
      <c r="B148" s="68" t="s">
        <v>51</v>
      </c>
      <c r="C148" s="71">
        <v>1</v>
      </c>
      <c r="D148" s="45">
        <f>IF(IF($C$4="Privado",1,0)=1,VLOOKUP(B148,'Piezas Sanitarias'!$B$4:$F$20,4,FALSE),VLOOKUP(B148,'Piezas Sanitarias'!$B$4:$F$20,5,FALSE))</f>
        <v>2</v>
      </c>
      <c r="E148" s="75" t="s">
        <v>76</v>
      </c>
      <c r="F148" s="63">
        <f t="shared" ref="F148:F155" si="32">C148*D148</f>
        <v>2</v>
      </c>
      <c r="G148" s="83">
        <f t="shared" si="30"/>
        <v>1.5</v>
      </c>
      <c r="H148" s="84">
        <f t="shared" ref="H148:H154" si="33">C148*G148</f>
        <v>1.5</v>
      </c>
      <c r="I148" s="91">
        <f t="shared" si="31"/>
        <v>1.5</v>
      </c>
      <c r="J148" s="92">
        <f>C148*I148</f>
        <v>1.5</v>
      </c>
    </row>
    <row r="149" spans="2:11" x14ac:dyDescent="0.35">
      <c r="B149" s="68" t="s">
        <v>68</v>
      </c>
      <c r="C149" s="71">
        <v>0</v>
      </c>
      <c r="D149" s="45">
        <f>IF(IF($C$4="Privado",1,0)=1,VLOOKUP(B149,'Piezas Sanitarias'!$B$4:$F$20,4,FALSE),VLOOKUP(B149,'Piezas Sanitarias'!$B$4:$F$20,5,FALSE))</f>
        <v>2</v>
      </c>
      <c r="E149" s="75" t="s">
        <v>80</v>
      </c>
      <c r="F149" s="63">
        <f t="shared" si="32"/>
        <v>0</v>
      </c>
      <c r="G149" s="83">
        <f t="shared" si="30"/>
        <v>2</v>
      </c>
      <c r="H149" s="84">
        <f t="shared" si="33"/>
        <v>0</v>
      </c>
      <c r="I149" s="91">
        <f t="shared" si="31"/>
        <v>0</v>
      </c>
      <c r="J149" s="92">
        <f t="shared" ref="J149:J152" si="34">C149*I149</f>
        <v>0</v>
      </c>
    </row>
    <row r="150" spans="2:11" x14ac:dyDescent="0.35">
      <c r="B150" s="68" t="s">
        <v>52</v>
      </c>
      <c r="C150" s="71">
        <v>0</v>
      </c>
      <c r="D150" s="45">
        <f>IF(IF($C$4="Privado",1,0)=1,VLOOKUP(B150,'Piezas Sanitarias'!$B$4:$F$20,4,FALSE),VLOOKUP(B150,'Piezas Sanitarias'!$B$4:$F$20,5,FALSE))</f>
        <v>2</v>
      </c>
      <c r="E150" s="75" t="s">
        <v>76</v>
      </c>
      <c r="F150" s="63">
        <f t="shared" si="32"/>
        <v>0</v>
      </c>
      <c r="G150" s="83">
        <f t="shared" si="30"/>
        <v>1.5</v>
      </c>
      <c r="H150" s="84">
        <f t="shared" si="33"/>
        <v>0</v>
      </c>
      <c r="I150" s="91">
        <f t="shared" si="31"/>
        <v>1.5</v>
      </c>
      <c r="J150" s="92">
        <f t="shared" si="34"/>
        <v>0</v>
      </c>
    </row>
    <row r="151" spans="2:11" x14ac:dyDescent="0.35">
      <c r="B151" s="68" t="s">
        <v>81</v>
      </c>
      <c r="C151" s="71"/>
      <c r="D151" s="45">
        <f>IF(IF($C$4="Privado",1,0)=1,VLOOKUP(B151,'Piezas Sanitarias'!$B$4:$F$20,4,FALSE),VLOOKUP(B151,'Piezas Sanitarias'!$B$4:$F$20,5,FALSE))</f>
        <v>0</v>
      </c>
      <c r="E151" s="75" t="s">
        <v>76</v>
      </c>
      <c r="F151" s="63">
        <f t="shared" si="32"/>
        <v>0</v>
      </c>
      <c r="G151" s="83">
        <f t="shared" si="30"/>
        <v>0</v>
      </c>
      <c r="H151" s="84">
        <f t="shared" si="33"/>
        <v>0</v>
      </c>
      <c r="I151" s="91">
        <f t="shared" si="31"/>
        <v>0</v>
      </c>
      <c r="J151" s="92">
        <f t="shared" si="34"/>
        <v>0</v>
      </c>
    </row>
    <row r="152" spans="2:11" x14ac:dyDescent="0.35">
      <c r="B152" s="68" t="s">
        <v>81</v>
      </c>
      <c r="C152" s="71"/>
      <c r="D152" s="45">
        <f>IF(IF($C$4="Privado",1,0)=1,VLOOKUP(B152,'Piezas Sanitarias'!$B$4:$F$20,4,FALSE),VLOOKUP(B152,'Piezas Sanitarias'!$B$4:$F$20,5,FALSE))</f>
        <v>0</v>
      </c>
      <c r="E152" s="75" t="s">
        <v>76</v>
      </c>
      <c r="F152" s="63">
        <f t="shared" si="32"/>
        <v>0</v>
      </c>
      <c r="G152" s="83">
        <f t="shared" si="30"/>
        <v>0</v>
      </c>
      <c r="H152" s="84">
        <f t="shared" si="33"/>
        <v>0</v>
      </c>
      <c r="I152" s="91">
        <f t="shared" si="31"/>
        <v>0</v>
      </c>
      <c r="J152" s="92">
        <f t="shared" si="34"/>
        <v>0</v>
      </c>
    </row>
    <row r="153" spans="2:11" x14ac:dyDescent="0.35">
      <c r="B153" s="68" t="s">
        <v>81</v>
      </c>
      <c r="C153" s="72"/>
      <c r="D153" s="45">
        <f>IF(IF($C$4="Privado",1,0)=1,VLOOKUP(B153,'Piezas Sanitarias'!$B$4:$F$20,4,FALSE),VLOOKUP(B153,'Piezas Sanitarias'!$B$4:$F$20,5,FALSE))</f>
        <v>0</v>
      </c>
      <c r="E153" s="75" t="s">
        <v>80</v>
      </c>
      <c r="F153" s="63">
        <f t="shared" si="32"/>
        <v>0</v>
      </c>
      <c r="G153" s="83">
        <f t="shared" si="30"/>
        <v>0</v>
      </c>
      <c r="H153" s="84">
        <f t="shared" si="33"/>
        <v>0</v>
      </c>
      <c r="I153" s="91">
        <f t="shared" si="31"/>
        <v>0</v>
      </c>
      <c r="J153" s="92">
        <f>C153*I153</f>
        <v>0</v>
      </c>
    </row>
    <row r="154" spans="2:11" x14ac:dyDescent="0.35">
      <c r="B154" s="68" t="s">
        <v>81</v>
      </c>
      <c r="C154" s="72"/>
      <c r="D154" s="45">
        <f>IF(IF($C$4="Privado",1,0)=1,VLOOKUP(B154,'Piezas Sanitarias'!$B$4:$F$20,4,FALSE),VLOOKUP(B154,'Piezas Sanitarias'!$B$4:$F$20,5,FALSE))</f>
        <v>0</v>
      </c>
      <c r="E154" s="75" t="s">
        <v>80</v>
      </c>
      <c r="F154" s="63">
        <f t="shared" si="32"/>
        <v>0</v>
      </c>
      <c r="G154" s="83">
        <f t="shared" si="30"/>
        <v>0</v>
      </c>
      <c r="H154" s="84">
        <f t="shared" si="33"/>
        <v>0</v>
      </c>
      <c r="I154" s="91">
        <f t="shared" si="31"/>
        <v>0</v>
      </c>
      <c r="J154" s="92">
        <f>C154*I154</f>
        <v>0</v>
      </c>
    </row>
    <row r="155" spans="2:11" ht="15" thickBot="1" x14ac:dyDescent="0.4">
      <c r="B155" s="69" t="s">
        <v>81</v>
      </c>
      <c r="C155" s="73"/>
      <c r="D155" s="46">
        <f>IF(IF($C$4="Privado",1,0)=1,VLOOKUP(B155,'Piezas Sanitarias'!$B$4:$F$20,4,FALSE),VLOOKUP(B155,'Piezas Sanitarias'!$B$4:$F$20,5,FALSE))</f>
        <v>0</v>
      </c>
      <c r="E155" s="76" t="s">
        <v>80</v>
      </c>
      <c r="F155" s="64">
        <f t="shared" si="32"/>
        <v>0</v>
      </c>
      <c r="G155" s="85">
        <f t="shared" si="30"/>
        <v>0</v>
      </c>
      <c r="H155" s="86">
        <f>C155*G155</f>
        <v>0</v>
      </c>
      <c r="I155" s="93">
        <f t="shared" si="31"/>
        <v>0</v>
      </c>
      <c r="J155" s="94">
        <f>C155*I155</f>
        <v>0</v>
      </c>
    </row>
    <row r="156" spans="2:11" ht="15.5" x14ac:dyDescent="0.35">
      <c r="B156" s="1"/>
      <c r="C156" s="52"/>
      <c r="D156" s="53" t="s">
        <v>1</v>
      </c>
      <c r="E156" s="53"/>
      <c r="F156" s="77">
        <f>SUM(F146:F155)</f>
        <v>14</v>
      </c>
      <c r="G156" s="54"/>
      <c r="H156" s="77">
        <f>SUM(H146:H155)</f>
        <v>12.75</v>
      </c>
      <c r="I156" s="54"/>
      <c r="J156" s="77">
        <f>SUM(J146:J155)</f>
        <v>3.75</v>
      </c>
      <c r="K156" s="54"/>
    </row>
    <row r="157" spans="2:11" ht="16.5" x14ac:dyDescent="0.35">
      <c r="B157" s="1"/>
      <c r="C157" s="1"/>
      <c r="D157" s="1" t="s">
        <v>2</v>
      </c>
      <c r="E157" s="1"/>
      <c r="F157" s="78">
        <f>(IFERROR(
IF($C$3="Tanques",
   IF(F156&lt;100,
      0.13*POWER(F156,0.669),
      0.0145*F156+1.39-0.00000283*POWER(F156,2)
   ),
   IF($C$3="Fluxometros",
      IF(F156&lt;150,
         0.68*POWER(F156,0.4),
         0.0122*F156+3.37-0.00000215*POWER(F156,2)
      )
   )
),
0))/1000</f>
        <v>7.5980650635836032E-4</v>
      </c>
      <c r="G157" s="56" t="s">
        <v>37</v>
      </c>
      <c r="H157" s="78">
        <f>(IFERROR(
IF($C$3="Tanques",
   IF(H156&lt;100,
      0.13*POWER(H156,0.669),
      0.0145*H156+1.39-0.00000283*POWER(H156,2)
   ),
   IF($C$3="Fluxometros",
      IF(H156&lt;150,
         0.68*POWER(H156,0.4),
         0.0122*H156+3.37-0.00000215*POWER(H156,2)
      )
   )
),
0))/1000</f>
        <v>7.1372295665954268E-4</v>
      </c>
      <c r="I157" s="56" t="s">
        <v>37</v>
      </c>
      <c r="J157" s="78">
        <f>(IFERROR(
IF($C$3="Tanques",
   IF(J156&lt;100,
      0.13*POWER(J156,0.669),
      0.0145*J156+1.39-0.00000283*POWER(J156,2)
   ),
   IF($C$3="Fluxometros",
      IF(J156&lt;150,
         0.68*POWER(J156,0.4),
         0.0122*J156+3.37-0.00000215*POWER(J156,2)
      )
   )
),
0))/1000</f>
        <v>3.1475328426949371E-4</v>
      </c>
      <c r="K157" s="56" t="s">
        <v>37</v>
      </c>
    </row>
    <row r="158" spans="2:11" ht="15.5" x14ac:dyDescent="0.35">
      <c r="C158" s="1"/>
      <c r="F158" s="95">
        <f>(IFERROR(
IF($C$3="Tanques",
   IF(F156&lt;100,
      0.13*POWER(F156,0.669),
      0.0145*F156+1.39-0.00000283*POWER(F156,2)
   ),
   IF($C$3="Fluxometros",
      IF(F156&lt;150,
         0.68*POWER(F156,0.4),
         0.0122*F156+3.37-0.00000215*POWER(F156,2)
      )
   )
),
0))</f>
        <v>0.75980650635836033</v>
      </c>
      <c r="G158" s="55" t="s">
        <v>36</v>
      </c>
      <c r="H158" s="95">
        <f>(IFERROR(
IF($C$3="Tanques",
   IF(H156&lt;100,
      0.13*POWER(H156,0.669),
      0.0145*H156+1.39-0.00000283*POWER(H156,2)
   ),
   IF($C$3="Fluxometros",
      IF(H156&lt;150,
         0.68*POWER(H156,0.4),
         0.0122*H156+3.37-0.00000215*POWER(H156,2)
      )
   )
),
0))</f>
        <v>0.71372295665954266</v>
      </c>
      <c r="I158" s="55" t="s">
        <v>36</v>
      </c>
      <c r="J158" s="95">
        <f>(IFERROR(
IF($C$3="Tanques",
   IF(J156&lt;100,
      0.13*POWER(J156,0.669),
      0.0145*J156+1.39-0.00000283*POWER(J156,2)
   ),
   IF($C$3="Fluxometros",
      IF(J156&lt;150,
         0.68*POWER(J156,0.4),
         0.0122*J156+3.37-0.00000215*POWER(J156,2)
      )
   )
),
0))</f>
        <v>0.31475328426949373</v>
      </c>
      <c r="K158" s="55" t="s">
        <v>36</v>
      </c>
    </row>
    <row r="163" spans="2:10" x14ac:dyDescent="0.35">
      <c r="B163" s="47" t="s">
        <v>86</v>
      </c>
    </row>
    <row r="165" spans="2:10" ht="15.5" x14ac:dyDescent="0.35">
      <c r="B165" s="96" t="s">
        <v>38</v>
      </c>
      <c r="C165" s="96"/>
      <c r="D165" s="96"/>
      <c r="E165" s="96"/>
      <c r="F165" s="96"/>
      <c r="G165" s="96"/>
      <c r="H165" s="96"/>
      <c r="I165" s="96"/>
      <c r="J165" s="96"/>
    </row>
    <row r="166" spans="2:10" x14ac:dyDescent="0.35">
      <c r="B166" s="1" t="s">
        <v>74</v>
      </c>
      <c r="C166" s="66" t="s">
        <v>79</v>
      </c>
      <c r="D166" s="50"/>
      <c r="E166" s="50"/>
      <c r="F166" s="50"/>
      <c r="G166" s="50"/>
      <c r="H166" s="50"/>
      <c r="I166" s="50"/>
      <c r="J166" s="50"/>
    </row>
    <row r="167" spans="2:10" x14ac:dyDescent="0.35">
      <c r="B167" s="1" t="s">
        <v>72</v>
      </c>
      <c r="C167" s="66" t="s">
        <v>73</v>
      </c>
      <c r="D167" s="50"/>
      <c r="E167" s="50"/>
      <c r="F167" s="50"/>
      <c r="G167" s="50"/>
      <c r="H167" s="50"/>
      <c r="I167" s="50"/>
      <c r="J167" s="50"/>
    </row>
    <row r="168" spans="2:10" ht="16" thickBot="1" x14ac:dyDescent="0.4">
      <c r="B168" s="48"/>
      <c r="C168" s="49"/>
      <c r="D168" s="50"/>
      <c r="E168" s="50"/>
      <c r="F168" s="50"/>
      <c r="G168" s="50"/>
      <c r="H168" s="50"/>
      <c r="I168" s="50"/>
      <c r="J168" s="50"/>
    </row>
    <row r="169" spans="2:10" ht="31.5" thickBot="1" x14ac:dyDescent="0.4">
      <c r="B169" s="51" t="s">
        <v>0</v>
      </c>
      <c r="C169" s="51" t="s">
        <v>71</v>
      </c>
      <c r="D169" s="65" t="s">
        <v>69</v>
      </c>
      <c r="E169" s="65" t="s">
        <v>75</v>
      </c>
      <c r="F169" s="61" t="s">
        <v>70</v>
      </c>
      <c r="G169" s="79" t="s">
        <v>69</v>
      </c>
      <c r="H169" s="80" t="s">
        <v>77</v>
      </c>
      <c r="I169" s="87" t="s">
        <v>69</v>
      </c>
      <c r="J169" s="88" t="s">
        <v>78</v>
      </c>
    </row>
    <row r="170" spans="2:10" x14ac:dyDescent="0.35">
      <c r="B170" s="67" t="s">
        <v>55</v>
      </c>
      <c r="C170" s="70">
        <v>1</v>
      </c>
      <c r="D170" s="44">
        <f>IF(IF($C$4="Privado",1,0)=1,VLOOKUP(B170,'Piezas Sanitarias'!$B$4:$F$20,4,FALSE),VLOOKUP(B170,'Piezas Sanitarias'!$B$4:$F$20,5,FALSE))</f>
        <v>3</v>
      </c>
      <c r="E170" s="74" t="s">
        <v>80</v>
      </c>
      <c r="F170" s="62">
        <f>C170*D170</f>
        <v>3</v>
      </c>
      <c r="G170" s="81">
        <f>IF(E170="Fría",D170,D170*3/4)</f>
        <v>3</v>
      </c>
      <c r="H170" s="82">
        <f>C170*G170</f>
        <v>3</v>
      </c>
      <c r="I170" s="89">
        <f>IF(E170="Fría",0,D170*3/4)</f>
        <v>0</v>
      </c>
      <c r="J170" s="90">
        <f>C170*I170</f>
        <v>0</v>
      </c>
    </row>
    <row r="171" spans="2:10" x14ac:dyDescent="0.35">
      <c r="B171" s="68" t="s">
        <v>60</v>
      </c>
      <c r="C171" s="71">
        <v>1</v>
      </c>
      <c r="D171" s="45">
        <f>IF(IF($C$4="Privado",1,0)=1,VLOOKUP(B171,'Piezas Sanitarias'!$B$4:$F$20,4,FALSE),VLOOKUP(B171,'Piezas Sanitarias'!$B$4:$F$20,5,FALSE))</f>
        <v>1</v>
      </c>
      <c r="E171" s="75" t="s">
        <v>76</v>
      </c>
      <c r="F171" s="63">
        <f>C171*D171</f>
        <v>1</v>
      </c>
      <c r="G171" s="83">
        <f t="shared" ref="G171:G179" si="35">IF(E171="Fría",D171,D171*3/4)</f>
        <v>0.75</v>
      </c>
      <c r="H171" s="84">
        <f>C171*G171</f>
        <v>0.75</v>
      </c>
      <c r="I171" s="91">
        <f t="shared" ref="I171:I179" si="36">IF(E171="Fría",0,D171*3/4)</f>
        <v>0.75</v>
      </c>
      <c r="J171" s="92">
        <f>C171*I171</f>
        <v>0.75</v>
      </c>
    </row>
    <row r="172" spans="2:10" x14ac:dyDescent="0.35">
      <c r="B172" s="68" t="s">
        <v>51</v>
      </c>
      <c r="C172" s="71">
        <v>0</v>
      </c>
      <c r="D172" s="45">
        <f>IF(IF($C$4="Privado",1,0)=1,VLOOKUP(B172,'Piezas Sanitarias'!$B$4:$F$20,4,FALSE),VLOOKUP(B172,'Piezas Sanitarias'!$B$4:$F$20,5,FALSE))</f>
        <v>2</v>
      </c>
      <c r="E172" s="75" t="s">
        <v>76</v>
      </c>
      <c r="F172" s="63">
        <f t="shared" ref="F172:F179" si="37">C172*D172</f>
        <v>0</v>
      </c>
      <c r="G172" s="83">
        <f t="shared" si="35"/>
        <v>1.5</v>
      </c>
      <c r="H172" s="84">
        <f t="shared" ref="H172:H178" si="38">C172*G172</f>
        <v>0</v>
      </c>
      <c r="I172" s="91">
        <f t="shared" si="36"/>
        <v>1.5</v>
      </c>
      <c r="J172" s="92">
        <f>C172*I172</f>
        <v>0</v>
      </c>
    </row>
    <row r="173" spans="2:10" x14ac:dyDescent="0.35">
      <c r="B173" s="68" t="s">
        <v>68</v>
      </c>
      <c r="C173" s="71">
        <v>0</v>
      </c>
      <c r="D173" s="45">
        <f>IF(IF($C$4="Privado",1,0)=1,VLOOKUP(B173,'Piezas Sanitarias'!$B$4:$F$20,4,FALSE),VLOOKUP(B173,'Piezas Sanitarias'!$B$4:$F$20,5,FALSE))</f>
        <v>2</v>
      </c>
      <c r="E173" s="75" t="s">
        <v>80</v>
      </c>
      <c r="F173" s="63">
        <f t="shared" si="37"/>
        <v>0</v>
      </c>
      <c r="G173" s="83">
        <f t="shared" si="35"/>
        <v>2</v>
      </c>
      <c r="H173" s="84">
        <f t="shared" si="38"/>
        <v>0</v>
      </c>
      <c r="I173" s="91">
        <f t="shared" si="36"/>
        <v>0</v>
      </c>
      <c r="J173" s="92">
        <f t="shared" ref="J173:J176" si="39">C173*I173</f>
        <v>0</v>
      </c>
    </row>
    <row r="174" spans="2:10" x14ac:dyDescent="0.35">
      <c r="B174" s="68" t="s">
        <v>52</v>
      </c>
      <c r="C174" s="71">
        <v>0</v>
      </c>
      <c r="D174" s="45">
        <f>IF(IF($C$4="Privado",1,0)=1,VLOOKUP(B174,'Piezas Sanitarias'!$B$4:$F$20,4,FALSE),VLOOKUP(B174,'Piezas Sanitarias'!$B$4:$F$20,5,FALSE))</f>
        <v>2</v>
      </c>
      <c r="E174" s="75" t="s">
        <v>76</v>
      </c>
      <c r="F174" s="63">
        <f t="shared" si="37"/>
        <v>0</v>
      </c>
      <c r="G174" s="83">
        <f t="shared" si="35"/>
        <v>1.5</v>
      </c>
      <c r="H174" s="84">
        <f t="shared" si="38"/>
        <v>0</v>
      </c>
      <c r="I174" s="91">
        <f t="shared" si="36"/>
        <v>1.5</v>
      </c>
      <c r="J174" s="92">
        <f t="shared" si="39"/>
        <v>0</v>
      </c>
    </row>
    <row r="175" spans="2:10" x14ac:dyDescent="0.35">
      <c r="B175" s="68" t="s">
        <v>81</v>
      </c>
      <c r="C175" s="71"/>
      <c r="D175" s="45">
        <f>IF(IF($C$4="Privado",1,0)=1,VLOOKUP(B175,'Piezas Sanitarias'!$B$4:$F$20,4,FALSE),VLOOKUP(B175,'Piezas Sanitarias'!$B$4:$F$20,5,FALSE))</f>
        <v>0</v>
      </c>
      <c r="E175" s="75" t="s">
        <v>76</v>
      </c>
      <c r="F175" s="63">
        <f t="shared" si="37"/>
        <v>0</v>
      </c>
      <c r="G175" s="83">
        <f t="shared" si="35"/>
        <v>0</v>
      </c>
      <c r="H175" s="84">
        <f t="shared" si="38"/>
        <v>0</v>
      </c>
      <c r="I175" s="91">
        <f t="shared" si="36"/>
        <v>0</v>
      </c>
      <c r="J175" s="92">
        <f t="shared" si="39"/>
        <v>0</v>
      </c>
    </row>
    <row r="176" spans="2:10" x14ac:dyDescent="0.35">
      <c r="B176" s="68" t="s">
        <v>81</v>
      </c>
      <c r="C176" s="71"/>
      <c r="D176" s="45">
        <f>IF(IF($C$4="Privado",1,0)=1,VLOOKUP(B176,'Piezas Sanitarias'!$B$4:$F$20,4,FALSE),VLOOKUP(B176,'Piezas Sanitarias'!$B$4:$F$20,5,FALSE))</f>
        <v>0</v>
      </c>
      <c r="E176" s="75" t="s">
        <v>76</v>
      </c>
      <c r="F176" s="63">
        <f t="shared" si="37"/>
        <v>0</v>
      </c>
      <c r="G176" s="83">
        <f t="shared" si="35"/>
        <v>0</v>
      </c>
      <c r="H176" s="84">
        <f t="shared" si="38"/>
        <v>0</v>
      </c>
      <c r="I176" s="91">
        <f t="shared" si="36"/>
        <v>0</v>
      </c>
      <c r="J176" s="92">
        <f t="shared" si="39"/>
        <v>0</v>
      </c>
    </row>
    <row r="177" spans="2:11" x14ac:dyDescent="0.35">
      <c r="B177" s="68" t="s">
        <v>81</v>
      </c>
      <c r="C177" s="72"/>
      <c r="D177" s="45">
        <f>IF(IF($C$4="Privado",1,0)=1,VLOOKUP(B177,'Piezas Sanitarias'!$B$4:$F$20,4,FALSE),VLOOKUP(B177,'Piezas Sanitarias'!$B$4:$F$20,5,FALSE))</f>
        <v>0</v>
      </c>
      <c r="E177" s="75" t="s">
        <v>80</v>
      </c>
      <c r="F177" s="63">
        <f t="shared" si="37"/>
        <v>0</v>
      </c>
      <c r="G177" s="83">
        <f t="shared" si="35"/>
        <v>0</v>
      </c>
      <c r="H177" s="84">
        <f t="shared" si="38"/>
        <v>0</v>
      </c>
      <c r="I177" s="91">
        <f t="shared" si="36"/>
        <v>0</v>
      </c>
      <c r="J177" s="92">
        <f>C177*I177</f>
        <v>0</v>
      </c>
    </row>
    <row r="178" spans="2:11" x14ac:dyDescent="0.35">
      <c r="B178" s="68" t="s">
        <v>81</v>
      </c>
      <c r="C178" s="72"/>
      <c r="D178" s="45">
        <f>IF(IF($C$4="Privado",1,0)=1,VLOOKUP(B178,'Piezas Sanitarias'!$B$4:$F$20,4,FALSE),VLOOKUP(B178,'Piezas Sanitarias'!$B$4:$F$20,5,FALSE))</f>
        <v>0</v>
      </c>
      <c r="E178" s="75" t="s">
        <v>80</v>
      </c>
      <c r="F178" s="63">
        <f t="shared" si="37"/>
        <v>0</v>
      </c>
      <c r="G178" s="83">
        <f t="shared" si="35"/>
        <v>0</v>
      </c>
      <c r="H178" s="84">
        <f t="shared" si="38"/>
        <v>0</v>
      </c>
      <c r="I178" s="91">
        <f t="shared" si="36"/>
        <v>0</v>
      </c>
      <c r="J178" s="92">
        <f>C178*I178</f>
        <v>0</v>
      </c>
    </row>
    <row r="179" spans="2:11" ht="15" thickBot="1" x14ac:dyDescent="0.4">
      <c r="B179" s="69" t="s">
        <v>81</v>
      </c>
      <c r="C179" s="73"/>
      <c r="D179" s="46">
        <f>IF(IF($C$4="Privado",1,0)=1,VLOOKUP(B179,'Piezas Sanitarias'!$B$4:$F$20,4,FALSE),VLOOKUP(B179,'Piezas Sanitarias'!$B$4:$F$20,5,FALSE))</f>
        <v>0</v>
      </c>
      <c r="E179" s="76" t="s">
        <v>80</v>
      </c>
      <c r="F179" s="64">
        <f t="shared" si="37"/>
        <v>0</v>
      </c>
      <c r="G179" s="85">
        <f t="shared" si="35"/>
        <v>0</v>
      </c>
      <c r="H179" s="86">
        <f>C179*G179</f>
        <v>0</v>
      </c>
      <c r="I179" s="93">
        <f t="shared" si="36"/>
        <v>0</v>
      </c>
      <c r="J179" s="94">
        <f>C179*I179</f>
        <v>0</v>
      </c>
    </row>
    <row r="180" spans="2:11" ht="15.5" x14ac:dyDescent="0.35">
      <c r="B180" s="1"/>
      <c r="C180" s="52"/>
      <c r="D180" s="53" t="s">
        <v>1</v>
      </c>
      <c r="E180" s="53"/>
      <c r="F180" s="77">
        <f>SUM(F170:F179)</f>
        <v>4</v>
      </c>
      <c r="G180" s="54"/>
      <c r="H180" s="77">
        <f>SUM(H170:H179)</f>
        <v>3.75</v>
      </c>
      <c r="I180" s="54"/>
      <c r="J180" s="77">
        <f>SUM(J170:J179)</f>
        <v>0.75</v>
      </c>
      <c r="K180" s="54"/>
    </row>
    <row r="181" spans="2:11" ht="16.5" x14ac:dyDescent="0.35">
      <c r="B181" s="1"/>
      <c r="C181" s="1"/>
      <c r="D181" s="1" t="s">
        <v>2</v>
      </c>
      <c r="E181" s="1"/>
      <c r="F181" s="78">
        <f>(IFERROR(
IF($C$3="Tanques",
   IF(F180&lt;100,
      0.13*POWER(F180,0.669),
      0.0145*F180+1.39-0.00000283*POWER(F180,2)
   ),
   IF($C$3="Fluxometros",
      IF(F180&lt;150,
         0.68*POWER(F180,0.4),
         0.0122*F180+3.37-0.00000215*POWER(F180,2)
      )
   )
),
0))/1000</f>
        <v>3.286408055977298E-4</v>
      </c>
      <c r="G181" s="56" t="s">
        <v>37</v>
      </c>
      <c r="H181" s="78">
        <f>(IFERROR(
IF($C$3="Tanques",
   IF(H180&lt;100,
      0.13*POWER(H180,0.669),
      0.0145*H180+1.39-0.00000283*POWER(H180,2)
   ),
   IF($C$3="Fluxometros",
      IF(H180&lt;150,
         0.68*POWER(H180,0.4),
         0.0122*H180+3.37-0.00000215*POWER(H180,2)
      )
   )
),
0))/1000</f>
        <v>3.1475328426949371E-4</v>
      </c>
      <c r="I181" s="56" t="s">
        <v>37</v>
      </c>
      <c r="J181" s="78">
        <f>(IFERROR(
IF($C$3="Tanques",
   IF(J180&lt;100,
      0.13*POWER(J180,0.669),
      0.0145*J180+1.39-0.00000283*POWER(J180,2)
   ),
   IF($C$3="Fluxometros",
      IF(J180&lt;150,
         0.68*POWER(J180,0.4),
         0.0122*J180+3.37-0.00000215*POWER(J180,2)
      )
   )
),
0))/1000</f>
        <v>1.0724062527725242E-4</v>
      </c>
      <c r="K181" s="56" t="s">
        <v>37</v>
      </c>
    </row>
    <row r="182" spans="2:11" ht="15.5" x14ac:dyDescent="0.35">
      <c r="C182" s="1"/>
      <c r="F182" s="95">
        <f>(IFERROR(
IF($C$3="Tanques",
   IF(F180&lt;100,
      0.13*POWER(F180,0.669),
      0.0145*F180+1.39-0.00000283*POWER(F180,2)
   ),
   IF($C$3="Fluxometros",
      IF(F180&lt;150,
         0.68*POWER(F180,0.4),
         0.0122*F180+3.37-0.00000215*POWER(F180,2)
      )
   )
),
0))</f>
        <v>0.32864080559772979</v>
      </c>
      <c r="G182" s="55" t="s">
        <v>36</v>
      </c>
      <c r="H182" s="95">
        <f>(IFERROR(
IF($C$3="Tanques",
   IF(H180&lt;100,
      0.13*POWER(H180,0.669),
      0.0145*H180+1.39-0.00000283*POWER(H180,2)
   ),
   IF($C$3="Fluxometros",
      IF(H180&lt;150,
         0.68*POWER(H180,0.4),
         0.0122*H180+3.37-0.00000215*POWER(H180,2)
      )
   )
),
0))</f>
        <v>0.31475328426949373</v>
      </c>
      <c r="I182" s="55" t="s">
        <v>36</v>
      </c>
      <c r="J182" s="95">
        <f>(IFERROR(
IF($C$3="Tanques",
   IF(J180&lt;100,
      0.13*POWER(J180,0.669),
      0.0145*J180+1.39-0.00000283*POWER(J180,2)
   ),
   IF($C$3="Fluxometros",
      IF(J180&lt;150,
         0.68*POWER(J180,0.4),
         0.0122*J180+3.37-0.00000215*POWER(J180,2)
      )
   )
),
0))</f>
        <v>0.10724062527725242</v>
      </c>
      <c r="K182" s="55" t="s">
        <v>36</v>
      </c>
    </row>
    <row r="186" spans="2:11" x14ac:dyDescent="0.35">
      <c r="B186" s="47" t="s">
        <v>33</v>
      </c>
    </row>
    <row r="188" spans="2:11" ht="15.5" x14ac:dyDescent="0.35">
      <c r="B188" s="96" t="s">
        <v>38</v>
      </c>
      <c r="C188" s="96"/>
      <c r="D188" s="96"/>
      <c r="E188" s="96"/>
      <c r="F188" s="96"/>
      <c r="G188" s="96"/>
      <c r="H188" s="96"/>
      <c r="I188" s="96"/>
      <c r="J188" s="96"/>
    </row>
    <row r="189" spans="2:11" x14ac:dyDescent="0.35">
      <c r="B189" s="1" t="s">
        <v>74</v>
      </c>
      <c r="C189" s="66" t="s">
        <v>79</v>
      </c>
      <c r="D189" s="50"/>
      <c r="E189" s="50"/>
      <c r="F189" s="50"/>
      <c r="G189" s="50"/>
      <c r="H189" s="50"/>
      <c r="I189" s="50"/>
      <c r="J189" s="50"/>
    </row>
    <row r="190" spans="2:11" x14ac:dyDescent="0.35">
      <c r="B190" s="1" t="s">
        <v>72</v>
      </c>
      <c r="C190" s="66" t="s">
        <v>73</v>
      </c>
      <c r="D190" s="50"/>
      <c r="E190" s="50"/>
      <c r="F190" s="50"/>
      <c r="G190" s="50"/>
      <c r="H190" s="50"/>
      <c r="I190" s="50"/>
      <c r="J190" s="50"/>
    </row>
    <row r="191" spans="2:11" ht="16" thickBot="1" x14ac:dyDescent="0.4">
      <c r="B191" s="48"/>
      <c r="C191" s="49"/>
      <c r="D191" s="50"/>
      <c r="E191" s="50"/>
      <c r="F191" s="50"/>
      <c r="G191" s="50"/>
      <c r="H191" s="50"/>
      <c r="I191" s="50"/>
      <c r="J191" s="50"/>
    </row>
    <row r="192" spans="2:11" ht="31.5" thickBot="1" x14ac:dyDescent="0.4">
      <c r="B192" s="51" t="s">
        <v>0</v>
      </c>
      <c r="C192" s="51" t="s">
        <v>71</v>
      </c>
      <c r="D192" s="65" t="s">
        <v>69</v>
      </c>
      <c r="E192" s="65" t="s">
        <v>75</v>
      </c>
      <c r="F192" s="61" t="s">
        <v>70</v>
      </c>
      <c r="G192" s="79" t="s">
        <v>69</v>
      </c>
      <c r="H192" s="80" t="s">
        <v>77</v>
      </c>
      <c r="I192" s="87" t="s">
        <v>69</v>
      </c>
      <c r="J192" s="88" t="s">
        <v>78</v>
      </c>
    </row>
    <row r="193" spans="2:11" x14ac:dyDescent="0.35">
      <c r="B193" s="67" t="s">
        <v>55</v>
      </c>
      <c r="C193" s="70">
        <v>2</v>
      </c>
      <c r="D193" s="44">
        <f>IF(IF($C$4="Privado",1,0)=1,VLOOKUP(B193,'Piezas Sanitarias'!$B$4:$F$20,4,FALSE),VLOOKUP(B193,'Piezas Sanitarias'!$B$4:$F$20,5,FALSE))</f>
        <v>3</v>
      </c>
      <c r="E193" s="74" t="s">
        <v>80</v>
      </c>
      <c r="F193" s="62">
        <f>C193*D193</f>
        <v>6</v>
      </c>
      <c r="G193" s="81">
        <f>IF(E193="Fría",D193,D193*3/4)</f>
        <v>3</v>
      </c>
      <c r="H193" s="82">
        <f>C193*G193</f>
        <v>6</v>
      </c>
      <c r="I193" s="89">
        <f>IF(E193="Fría",0,D193*3/4)</f>
        <v>0</v>
      </c>
      <c r="J193" s="90">
        <f>C193*I193</f>
        <v>0</v>
      </c>
    </row>
    <row r="194" spans="2:11" x14ac:dyDescent="0.35">
      <c r="B194" s="68" t="s">
        <v>60</v>
      </c>
      <c r="C194" s="71">
        <v>2</v>
      </c>
      <c r="D194" s="45">
        <f>IF(IF($C$4="Privado",1,0)=1,VLOOKUP(B194,'Piezas Sanitarias'!$B$4:$F$20,4,FALSE),VLOOKUP(B194,'Piezas Sanitarias'!$B$4:$F$20,5,FALSE))</f>
        <v>1</v>
      </c>
      <c r="E194" s="75" t="s">
        <v>76</v>
      </c>
      <c r="F194" s="63">
        <f>C194*D194</f>
        <v>2</v>
      </c>
      <c r="G194" s="83">
        <f t="shared" ref="G194:G202" si="40">IF(E194="Fría",D194,D194*3/4)</f>
        <v>0.75</v>
      </c>
      <c r="H194" s="84">
        <f>C194*G194</f>
        <v>1.5</v>
      </c>
      <c r="I194" s="91">
        <f t="shared" ref="I194:I202" si="41">IF(E194="Fría",0,D194*3/4)</f>
        <v>0.75</v>
      </c>
      <c r="J194" s="92">
        <f>C194*I194</f>
        <v>1.5</v>
      </c>
    </row>
    <row r="195" spans="2:11" x14ac:dyDescent="0.35">
      <c r="B195" s="68" t="s">
        <v>51</v>
      </c>
      <c r="C195" s="71">
        <v>1</v>
      </c>
      <c r="D195" s="45">
        <f>IF(IF($C$4="Privado",1,0)=1,VLOOKUP(B195,'Piezas Sanitarias'!$B$4:$F$20,4,FALSE),VLOOKUP(B195,'Piezas Sanitarias'!$B$4:$F$20,5,FALSE))</f>
        <v>2</v>
      </c>
      <c r="E195" s="75" t="s">
        <v>76</v>
      </c>
      <c r="F195" s="63">
        <f t="shared" ref="F195:F202" si="42">C195*D195</f>
        <v>2</v>
      </c>
      <c r="G195" s="83">
        <f t="shared" si="40"/>
        <v>1.5</v>
      </c>
      <c r="H195" s="84">
        <f t="shared" ref="H195:H201" si="43">C195*G195</f>
        <v>1.5</v>
      </c>
      <c r="I195" s="91">
        <f t="shared" si="41"/>
        <v>1.5</v>
      </c>
      <c r="J195" s="92">
        <f>C195*I195</f>
        <v>1.5</v>
      </c>
    </row>
    <row r="196" spans="2:11" x14ac:dyDescent="0.35">
      <c r="B196" s="68" t="s">
        <v>68</v>
      </c>
      <c r="C196" s="71">
        <v>0</v>
      </c>
      <c r="D196" s="45">
        <f>IF(IF($C$4="Privado",1,0)=1,VLOOKUP(B196,'Piezas Sanitarias'!$B$4:$F$20,4,FALSE),VLOOKUP(B196,'Piezas Sanitarias'!$B$4:$F$20,5,FALSE))</f>
        <v>2</v>
      </c>
      <c r="E196" s="75" t="s">
        <v>80</v>
      </c>
      <c r="F196" s="63">
        <f t="shared" si="42"/>
        <v>0</v>
      </c>
      <c r="G196" s="83">
        <f t="shared" si="40"/>
        <v>2</v>
      </c>
      <c r="H196" s="84">
        <f t="shared" si="43"/>
        <v>0</v>
      </c>
      <c r="I196" s="91">
        <f t="shared" si="41"/>
        <v>0</v>
      </c>
      <c r="J196" s="92">
        <f t="shared" ref="J196:J199" si="44">C196*I196</f>
        <v>0</v>
      </c>
    </row>
    <row r="197" spans="2:11" x14ac:dyDescent="0.35">
      <c r="B197" s="68" t="s">
        <v>52</v>
      </c>
      <c r="C197" s="71">
        <v>0</v>
      </c>
      <c r="D197" s="45">
        <f>IF(IF($C$4="Privado",1,0)=1,VLOOKUP(B197,'Piezas Sanitarias'!$B$4:$F$20,4,FALSE),VLOOKUP(B197,'Piezas Sanitarias'!$B$4:$F$20,5,FALSE))</f>
        <v>2</v>
      </c>
      <c r="E197" s="75" t="s">
        <v>76</v>
      </c>
      <c r="F197" s="63">
        <f t="shared" si="42"/>
        <v>0</v>
      </c>
      <c r="G197" s="83">
        <f t="shared" si="40"/>
        <v>1.5</v>
      </c>
      <c r="H197" s="84">
        <f t="shared" si="43"/>
        <v>0</v>
      </c>
      <c r="I197" s="91">
        <f t="shared" si="41"/>
        <v>1.5</v>
      </c>
      <c r="J197" s="92">
        <f t="shared" si="44"/>
        <v>0</v>
      </c>
    </row>
    <row r="198" spans="2:11" x14ac:dyDescent="0.35">
      <c r="B198" s="68" t="s">
        <v>81</v>
      </c>
      <c r="C198" s="71"/>
      <c r="D198" s="45">
        <f>IF(IF($C$4="Privado",1,0)=1,VLOOKUP(B198,'Piezas Sanitarias'!$B$4:$F$20,4,FALSE),VLOOKUP(B198,'Piezas Sanitarias'!$B$4:$F$20,5,FALSE))</f>
        <v>0</v>
      </c>
      <c r="E198" s="75" t="s">
        <v>76</v>
      </c>
      <c r="F198" s="63">
        <f t="shared" si="42"/>
        <v>0</v>
      </c>
      <c r="G198" s="83">
        <f t="shared" si="40"/>
        <v>0</v>
      </c>
      <c r="H198" s="84">
        <f t="shared" si="43"/>
        <v>0</v>
      </c>
      <c r="I198" s="91">
        <f t="shared" si="41"/>
        <v>0</v>
      </c>
      <c r="J198" s="92">
        <f t="shared" si="44"/>
        <v>0</v>
      </c>
    </row>
    <row r="199" spans="2:11" x14ac:dyDescent="0.35">
      <c r="B199" s="68" t="s">
        <v>81</v>
      </c>
      <c r="C199" s="71"/>
      <c r="D199" s="45">
        <f>IF(IF($C$4="Privado",1,0)=1,VLOOKUP(B199,'Piezas Sanitarias'!$B$4:$F$20,4,FALSE),VLOOKUP(B199,'Piezas Sanitarias'!$B$4:$F$20,5,FALSE))</f>
        <v>0</v>
      </c>
      <c r="E199" s="75" t="s">
        <v>76</v>
      </c>
      <c r="F199" s="63">
        <f t="shared" si="42"/>
        <v>0</v>
      </c>
      <c r="G199" s="83">
        <f t="shared" si="40"/>
        <v>0</v>
      </c>
      <c r="H199" s="84">
        <f t="shared" si="43"/>
        <v>0</v>
      </c>
      <c r="I199" s="91">
        <f t="shared" si="41"/>
        <v>0</v>
      </c>
      <c r="J199" s="92">
        <f t="shared" si="44"/>
        <v>0</v>
      </c>
    </row>
    <row r="200" spans="2:11" x14ac:dyDescent="0.35">
      <c r="B200" s="68" t="s">
        <v>81</v>
      </c>
      <c r="C200" s="72"/>
      <c r="D200" s="45">
        <f>IF(IF($C$4="Privado",1,0)=1,VLOOKUP(B200,'Piezas Sanitarias'!$B$4:$F$20,4,FALSE),VLOOKUP(B200,'Piezas Sanitarias'!$B$4:$F$20,5,FALSE))</f>
        <v>0</v>
      </c>
      <c r="E200" s="75" t="s">
        <v>80</v>
      </c>
      <c r="F200" s="63">
        <f t="shared" si="42"/>
        <v>0</v>
      </c>
      <c r="G200" s="83">
        <f t="shared" si="40"/>
        <v>0</v>
      </c>
      <c r="H200" s="84">
        <f t="shared" si="43"/>
        <v>0</v>
      </c>
      <c r="I200" s="91">
        <f t="shared" si="41"/>
        <v>0</v>
      </c>
      <c r="J200" s="92">
        <f>C200*I200</f>
        <v>0</v>
      </c>
    </row>
    <row r="201" spans="2:11" x14ac:dyDescent="0.35">
      <c r="B201" s="68" t="s">
        <v>81</v>
      </c>
      <c r="C201" s="72"/>
      <c r="D201" s="45">
        <f>IF(IF($C$4="Privado",1,0)=1,VLOOKUP(B201,'Piezas Sanitarias'!$B$4:$F$20,4,FALSE),VLOOKUP(B201,'Piezas Sanitarias'!$B$4:$F$20,5,FALSE))</f>
        <v>0</v>
      </c>
      <c r="E201" s="75" t="s">
        <v>80</v>
      </c>
      <c r="F201" s="63">
        <f t="shared" si="42"/>
        <v>0</v>
      </c>
      <c r="G201" s="83">
        <f t="shared" si="40"/>
        <v>0</v>
      </c>
      <c r="H201" s="84">
        <f t="shared" si="43"/>
        <v>0</v>
      </c>
      <c r="I201" s="91">
        <f t="shared" si="41"/>
        <v>0</v>
      </c>
      <c r="J201" s="92">
        <f>C201*I201</f>
        <v>0</v>
      </c>
    </row>
    <row r="202" spans="2:11" ht="15" thickBot="1" x14ac:dyDescent="0.4">
      <c r="B202" s="69" t="s">
        <v>81</v>
      </c>
      <c r="C202" s="73"/>
      <c r="D202" s="46">
        <f>IF(IF($C$4="Privado",1,0)=1,VLOOKUP(B202,'Piezas Sanitarias'!$B$4:$F$20,4,FALSE),VLOOKUP(B202,'Piezas Sanitarias'!$B$4:$F$20,5,FALSE))</f>
        <v>0</v>
      </c>
      <c r="E202" s="76" t="s">
        <v>80</v>
      </c>
      <c r="F202" s="64">
        <f t="shared" si="42"/>
        <v>0</v>
      </c>
      <c r="G202" s="85">
        <f t="shared" si="40"/>
        <v>0</v>
      </c>
      <c r="H202" s="86">
        <f>C202*G202</f>
        <v>0</v>
      </c>
      <c r="I202" s="93">
        <f t="shared" si="41"/>
        <v>0</v>
      </c>
      <c r="J202" s="94">
        <f>C202*I202</f>
        <v>0</v>
      </c>
    </row>
    <row r="203" spans="2:11" ht="15.5" x14ac:dyDescent="0.35">
      <c r="B203" s="1"/>
      <c r="C203" s="52"/>
      <c r="D203" s="53" t="s">
        <v>1</v>
      </c>
      <c r="E203" s="53"/>
      <c r="F203" s="77">
        <f>SUM(F193:F202)</f>
        <v>10</v>
      </c>
      <c r="G203" s="54"/>
      <c r="H203" s="77">
        <f>SUM(H193:H202)</f>
        <v>9</v>
      </c>
      <c r="I203" s="54"/>
      <c r="J203" s="77">
        <f>SUM(J193:J202)</f>
        <v>3</v>
      </c>
      <c r="K203" s="54"/>
    </row>
    <row r="204" spans="2:11" ht="16.5" x14ac:dyDescent="0.35">
      <c r="B204" s="1"/>
      <c r="C204" s="1"/>
      <c r="D204" s="1" t="s">
        <v>2</v>
      </c>
      <c r="E204" s="1"/>
      <c r="F204" s="78">
        <f>(IFERROR(
IF($C$3="Tanques",
   IF(F203&lt;100,
      0.13*POWER(F203,0.669),
      0.0145*F203+1.39-0.00000283*POWER(F203,2)
   ),
   IF($C$3="Fluxometros",
      IF(F203&lt;150,
         0.68*POWER(F203,0.4),
         0.0122*F203+3.37-0.00000215*POWER(F203,2)
      )
   )
),
0))/1000</f>
        <v>6.0665719440857531E-4</v>
      </c>
      <c r="G204" s="56" t="s">
        <v>37</v>
      </c>
      <c r="H204" s="78">
        <f>(IFERROR(
IF($C$3="Tanques",
   IF(H203&lt;100,
      0.13*POWER(H203,0.669),
      0.0145*H203+1.39-0.00000283*POWER(H203,2)
   ),
   IF($C$3="Fluxometros",
      IF(H203&lt;150,
         0.68*POWER(H203,0.4),
         0.0122*H203+3.37-0.00000215*POWER(H203,2)
      )
   )
),
0))/1000</f>
        <v>5.6536847837791076E-4</v>
      </c>
      <c r="I204" s="56" t="s">
        <v>37</v>
      </c>
      <c r="J204" s="78">
        <f>(IFERROR(
IF($C$3="Tanques",
   IF(J203&lt;100,
      0.13*POWER(J203,0.669),
      0.0145*J203+1.39-0.00000283*POWER(J203,2)
   ),
   IF($C$3="Fluxometros",
      IF(J203&lt;150,
         0.68*POWER(J203,0.4),
         0.0122*J203+3.37-0.00000215*POWER(J203,2)
      )
   )
),
0))/1000</f>
        <v>2.71104965260927E-4</v>
      </c>
      <c r="K204" s="56" t="s">
        <v>37</v>
      </c>
    </row>
    <row r="205" spans="2:11" ht="15.5" x14ac:dyDescent="0.35">
      <c r="C205" s="1"/>
      <c r="F205" s="95">
        <f>(IFERROR(
IF($C$3="Tanques",
   IF(F203&lt;100,
      0.13*POWER(F203,0.669),
      0.0145*F203+1.39-0.00000283*POWER(F203,2)
   ),
   IF($C$3="Fluxometros",
      IF(F203&lt;150,
         0.68*POWER(F203,0.4),
         0.0122*F203+3.37-0.00000215*POWER(F203,2)
      )
   )
),
0))</f>
        <v>0.60665719440857535</v>
      </c>
      <c r="G205" s="55" t="s">
        <v>36</v>
      </c>
      <c r="H205" s="95">
        <f>(IFERROR(
IF($C$3="Tanques",
   IF(H203&lt;100,
      0.13*POWER(H203,0.669),
      0.0145*H203+1.39-0.00000283*POWER(H203,2)
   ),
   IF($C$3="Fluxometros",
      IF(H203&lt;150,
         0.68*POWER(H203,0.4),
         0.0122*H203+3.37-0.00000215*POWER(H203,2)
      )
   )
),
0))</f>
        <v>0.56536847837791071</v>
      </c>
      <c r="I205" s="55" t="s">
        <v>36</v>
      </c>
      <c r="J205" s="95">
        <f>(IFERROR(
IF($C$3="Tanques",
   IF(J203&lt;100,
      0.13*POWER(J203,0.669),
      0.0145*J203+1.39-0.00000283*POWER(J203,2)
   ),
   IF($C$3="Fluxometros",
      IF(J203&lt;150,
         0.68*POWER(J203,0.4),
         0.0122*J203+3.37-0.00000215*POWER(J203,2)
      )
   )
),
0))</f>
        <v>0.27110496526092698</v>
      </c>
      <c r="K205" s="55" t="s">
        <v>36</v>
      </c>
    </row>
    <row r="209" spans="2:10" x14ac:dyDescent="0.35">
      <c r="B209" s="47" t="s">
        <v>88</v>
      </c>
    </row>
    <row r="211" spans="2:10" ht="15.5" x14ac:dyDescent="0.35">
      <c r="B211" s="96" t="s">
        <v>38</v>
      </c>
      <c r="C211" s="96"/>
      <c r="D211" s="96"/>
      <c r="E211" s="96"/>
      <c r="F211" s="96"/>
      <c r="G211" s="96"/>
      <c r="H211" s="96"/>
      <c r="I211" s="96"/>
      <c r="J211" s="96"/>
    </row>
    <row r="212" spans="2:10" x14ac:dyDescent="0.35">
      <c r="B212" s="1" t="s">
        <v>74</v>
      </c>
      <c r="C212" s="66" t="s">
        <v>79</v>
      </c>
      <c r="D212" s="50"/>
      <c r="E212" s="50"/>
      <c r="F212" s="50"/>
      <c r="G212" s="50"/>
      <c r="H212" s="50"/>
      <c r="I212" s="50"/>
      <c r="J212" s="50"/>
    </row>
    <row r="213" spans="2:10" x14ac:dyDescent="0.35">
      <c r="B213" s="1" t="s">
        <v>72</v>
      </c>
      <c r="C213" s="66" t="s">
        <v>73</v>
      </c>
      <c r="D213" s="50"/>
      <c r="E213" s="50"/>
      <c r="F213" s="50"/>
      <c r="G213" s="50"/>
      <c r="H213" s="50"/>
      <c r="I213" s="50"/>
      <c r="J213" s="50"/>
    </row>
    <row r="214" spans="2:10" ht="16" thickBot="1" x14ac:dyDescent="0.4">
      <c r="B214" s="48"/>
      <c r="C214" s="49"/>
      <c r="D214" s="50"/>
      <c r="E214" s="50"/>
      <c r="F214" s="50"/>
      <c r="G214" s="50"/>
      <c r="H214" s="50"/>
      <c r="I214" s="50"/>
      <c r="J214" s="50"/>
    </row>
    <row r="215" spans="2:10" ht="31.5" thickBot="1" x14ac:dyDescent="0.4">
      <c r="B215" s="51" t="s">
        <v>0</v>
      </c>
      <c r="C215" s="51" t="s">
        <v>71</v>
      </c>
      <c r="D215" s="65" t="s">
        <v>69</v>
      </c>
      <c r="E215" s="65" t="s">
        <v>75</v>
      </c>
      <c r="F215" s="61" t="s">
        <v>70</v>
      </c>
      <c r="G215" s="79" t="s">
        <v>69</v>
      </c>
      <c r="H215" s="80" t="s">
        <v>77</v>
      </c>
      <c r="I215" s="87" t="s">
        <v>69</v>
      </c>
      <c r="J215" s="88" t="s">
        <v>78</v>
      </c>
    </row>
    <row r="216" spans="2:10" x14ac:dyDescent="0.35">
      <c r="B216" s="67" t="s">
        <v>55</v>
      </c>
      <c r="C216" s="70">
        <v>1</v>
      </c>
      <c r="D216" s="44">
        <f>IF(IF($C$4="Privado",1,0)=1,VLOOKUP(B216,'Piezas Sanitarias'!$B$4:$F$20,4,FALSE),VLOOKUP(B216,'Piezas Sanitarias'!$B$4:$F$20,5,FALSE))</f>
        <v>3</v>
      </c>
      <c r="E216" s="74" t="s">
        <v>80</v>
      </c>
      <c r="F216" s="62">
        <f>C216*D216</f>
        <v>3</v>
      </c>
      <c r="G216" s="81">
        <f>IF(E216="Fría",D216,D216*3/4)</f>
        <v>3</v>
      </c>
      <c r="H216" s="82">
        <f>C216*G216</f>
        <v>3</v>
      </c>
      <c r="I216" s="89">
        <f>IF(E216="Fría",0,D216*3/4)</f>
        <v>0</v>
      </c>
      <c r="J216" s="90">
        <f>C216*I216</f>
        <v>0</v>
      </c>
    </row>
    <row r="217" spans="2:10" x14ac:dyDescent="0.35">
      <c r="B217" s="68" t="s">
        <v>60</v>
      </c>
      <c r="C217" s="71">
        <v>1</v>
      </c>
      <c r="D217" s="45">
        <f>IF(IF($C$4="Privado",1,0)=1,VLOOKUP(B217,'Piezas Sanitarias'!$B$4:$F$20,4,FALSE),VLOOKUP(B217,'Piezas Sanitarias'!$B$4:$F$20,5,FALSE))</f>
        <v>1</v>
      </c>
      <c r="E217" s="75" t="s">
        <v>76</v>
      </c>
      <c r="F217" s="63">
        <f>C217*D217</f>
        <v>1</v>
      </c>
      <c r="G217" s="83">
        <f t="shared" ref="G217:G225" si="45">IF(E217="Fría",D217,D217*3/4)</f>
        <v>0.75</v>
      </c>
      <c r="H217" s="84">
        <f>C217*G217</f>
        <v>0.75</v>
      </c>
      <c r="I217" s="91">
        <f t="shared" ref="I217:I225" si="46">IF(E217="Fría",0,D217*3/4)</f>
        <v>0.75</v>
      </c>
      <c r="J217" s="92">
        <f>C217*I217</f>
        <v>0.75</v>
      </c>
    </row>
    <row r="218" spans="2:10" x14ac:dyDescent="0.35">
      <c r="B218" s="68" t="s">
        <v>51</v>
      </c>
      <c r="C218" s="71">
        <v>1</v>
      </c>
      <c r="D218" s="45">
        <f>IF(IF($C$4="Privado",1,0)=1,VLOOKUP(B218,'Piezas Sanitarias'!$B$4:$F$20,4,FALSE),VLOOKUP(B218,'Piezas Sanitarias'!$B$4:$F$20,5,FALSE))</f>
        <v>2</v>
      </c>
      <c r="E218" s="75" t="s">
        <v>76</v>
      </c>
      <c r="F218" s="63">
        <f t="shared" ref="F218:F225" si="47">C218*D218</f>
        <v>2</v>
      </c>
      <c r="G218" s="83">
        <f t="shared" si="45"/>
        <v>1.5</v>
      </c>
      <c r="H218" s="84">
        <f t="shared" ref="H218:H224" si="48">C218*G218</f>
        <v>1.5</v>
      </c>
      <c r="I218" s="91">
        <f t="shared" si="46"/>
        <v>1.5</v>
      </c>
      <c r="J218" s="92">
        <f>C218*I218</f>
        <v>1.5</v>
      </c>
    </row>
    <row r="219" spans="2:10" x14ac:dyDescent="0.35">
      <c r="B219" s="68" t="s">
        <v>68</v>
      </c>
      <c r="C219" s="71">
        <v>0</v>
      </c>
      <c r="D219" s="45">
        <f>IF(IF($C$4="Privado",1,0)=1,VLOOKUP(B219,'Piezas Sanitarias'!$B$4:$F$20,4,FALSE),VLOOKUP(B219,'Piezas Sanitarias'!$B$4:$F$20,5,FALSE))</f>
        <v>2</v>
      </c>
      <c r="E219" s="75" t="s">
        <v>80</v>
      </c>
      <c r="F219" s="63">
        <f t="shared" si="47"/>
        <v>0</v>
      </c>
      <c r="G219" s="83">
        <f t="shared" si="45"/>
        <v>2</v>
      </c>
      <c r="H219" s="84">
        <f t="shared" si="48"/>
        <v>0</v>
      </c>
      <c r="I219" s="91">
        <f t="shared" si="46"/>
        <v>0</v>
      </c>
      <c r="J219" s="92">
        <f t="shared" ref="J219:J222" si="49">C219*I219</f>
        <v>0</v>
      </c>
    </row>
    <row r="220" spans="2:10" x14ac:dyDescent="0.35">
      <c r="B220" s="68" t="s">
        <v>52</v>
      </c>
      <c r="C220" s="71">
        <v>0</v>
      </c>
      <c r="D220" s="45">
        <f>IF(IF($C$4="Privado",1,0)=1,VLOOKUP(B220,'Piezas Sanitarias'!$B$4:$F$20,4,FALSE),VLOOKUP(B220,'Piezas Sanitarias'!$B$4:$F$20,5,FALSE))</f>
        <v>2</v>
      </c>
      <c r="E220" s="75" t="s">
        <v>76</v>
      </c>
      <c r="F220" s="63">
        <f t="shared" si="47"/>
        <v>0</v>
      </c>
      <c r="G220" s="83">
        <f t="shared" si="45"/>
        <v>1.5</v>
      </c>
      <c r="H220" s="84">
        <f t="shared" si="48"/>
        <v>0</v>
      </c>
      <c r="I220" s="91">
        <f t="shared" si="46"/>
        <v>1.5</v>
      </c>
      <c r="J220" s="92">
        <f t="shared" si="49"/>
        <v>0</v>
      </c>
    </row>
    <row r="221" spans="2:10" x14ac:dyDescent="0.35">
      <c r="B221" s="68" t="s">
        <v>81</v>
      </c>
      <c r="C221" s="71"/>
      <c r="D221" s="45">
        <f>IF(IF($C$4="Privado",1,0)=1,VLOOKUP(B221,'Piezas Sanitarias'!$B$4:$F$20,4,FALSE),VLOOKUP(B221,'Piezas Sanitarias'!$B$4:$F$20,5,FALSE))</f>
        <v>0</v>
      </c>
      <c r="E221" s="75" t="s">
        <v>76</v>
      </c>
      <c r="F221" s="63">
        <f t="shared" si="47"/>
        <v>0</v>
      </c>
      <c r="G221" s="83">
        <f t="shared" si="45"/>
        <v>0</v>
      </c>
      <c r="H221" s="84">
        <f t="shared" si="48"/>
        <v>0</v>
      </c>
      <c r="I221" s="91">
        <f t="shared" si="46"/>
        <v>0</v>
      </c>
      <c r="J221" s="92">
        <f t="shared" si="49"/>
        <v>0</v>
      </c>
    </row>
    <row r="222" spans="2:10" x14ac:dyDescent="0.35">
      <c r="B222" s="68" t="s">
        <v>81</v>
      </c>
      <c r="C222" s="71"/>
      <c r="D222" s="45">
        <f>IF(IF($C$4="Privado",1,0)=1,VLOOKUP(B222,'Piezas Sanitarias'!$B$4:$F$20,4,FALSE),VLOOKUP(B222,'Piezas Sanitarias'!$B$4:$F$20,5,FALSE))</f>
        <v>0</v>
      </c>
      <c r="E222" s="75" t="s">
        <v>76</v>
      </c>
      <c r="F222" s="63">
        <f t="shared" si="47"/>
        <v>0</v>
      </c>
      <c r="G222" s="83">
        <f t="shared" si="45"/>
        <v>0</v>
      </c>
      <c r="H222" s="84">
        <f t="shared" si="48"/>
        <v>0</v>
      </c>
      <c r="I222" s="91">
        <f t="shared" si="46"/>
        <v>0</v>
      </c>
      <c r="J222" s="92">
        <f t="shared" si="49"/>
        <v>0</v>
      </c>
    </row>
    <row r="223" spans="2:10" x14ac:dyDescent="0.35">
      <c r="B223" s="68" t="s">
        <v>81</v>
      </c>
      <c r="C223" s="72"/>
      <c r="D223" s="45">
        <f>IF(IF($C$4="Privado",1,0)=1,VLOOKUP(B223,'Piezas Sanitarias'!$B$4:$F$20,4,FALSE),VLOOKUP(B223,'Piezas Sanitarias'!$B$4:$F$20,5,FALSE))</f>
        <v>0</v>
      </c>
      <c r="E223" s="75" t="s">
        <v>80</v>
      </c>
      <c r="F223" s="63">
        <f t="shared" si="47"/>
        <v>0</v>
      </c>
      <c r="G223" s="83">
        <f t="shared" si="45"/>
        <v>0</v>
      </c>
      <c r="H223" s="84">
        <f t="shared" si="48"/>
        <v>0</v>
      </c>
      <c r="I223" s="91">
        <f t="shared" si="46"/>
        <v>0</v>
      </c>
      <c r="J223" s="92">
        <f>C223*I223</f>
        <v>0</v>
      </c>
    </row>
    <row r="224" spans="2:10" x14ac:dyDescent="0.35">
      <c r="B224" s="68" t="s">
        <v>81</v>
      </c>
      <c r="C224" s="72"/>
      <c r="D224" s="45">
        <f>IF(IF($C$4="Privado",1,0)=1,VLOOKUP(B224,'Piezas Sanitarias'!$B$4:$F$20,4,FALSE),VLOOKUP(B224,'Piezas Sanitarias'!$B$4:$F$20,5,FALSE))</f>
        <v>0</v>
      </c>
      <c r="E224" s="75" t="s">
        <v>80</v>
      </c>
      <c r="F224" s="63">
        <f t="shared" si="47"/>
        <v>0</v>
      </c>
      <c r="G224" s="83">
        <f t="shared" si="45"/>
        <v>0</v>
      </c>
      <c r="H224" s="84">
        <f t="shared" si="48"/>
        <v>0</v>
      </c>
      <c r="I224" s="91">
        <f t="shared" si="46"/>
        <v>0</v>
      </c>
      <c r="J224" s="92">
        <f>C224*I224</f>
        <v>0</v>
      </c>
    </row>
    <row r="225" spans="2:11" ht="15" thickBot="1" x14ac:dyDescent="0.4">
      <c r="B225" s="69" t="s">
        <v>81</v>
      </c>
      <c r="C225" s="73"/>
      <c r="D225" s="46">
        <f>IF(IF($C$4="Privado",1,0)=1,VLOOKUP(B225,'Piezas Sanitarias'!$B$4:$F$20,4,FALSE),VLOOKUP(B225,'Piezas Sanitarias'!$B$4:$F$20,5,FALSE))</f>
        <v>0</v>
      </c>
      <c r="E225" s="76" t="s">
        <v>80</v>
      </c>
      <c r="F225" s="64">
        <f t="shared" si="47"/>
        <v>0</v>
      </c>
      <c r="G225" s="85">
        <f t="shared" si="45"/>
        <v>0</v>
      </c>
      <c r="H225" s="86">
        <f>C225*G225</f>
        <v>0</v>
      </c>
      <c r="I225" s="93">
        <f t="shared" si="46"/>
        <v>0</v>
      </c>
      <c r="J225" s="94">
        <f>C225*I225</f>
        <v>0</v>
      </c>
    </row>
    <row r="226" spans="2:11" ht="15.5" x14ac:dyDescent="0.35">
      <c r="B226" s="1"/>
      <c r="C226" s="52"/>
      <c r="D226" s="53" t="s">
        <v>1</v>
      </c>
      <c r="E226" s="53"/>
      <c r="F226" s="77">
        <f>SUM(F216:F225)</f>
        <v>6</v>
      </c>
      <c r="G226" s="54"/>
      <c r="H226" s="77">
        <f>SUM(H216:H225)</f>
        <v>5.25</v>
      </c>
      <c r="I226" s="54"/>
      <c r="J226" s="77">
        <f>SUM(J216:J225)</f>
        <v>2.25</v>
      </c>
      <c r="K226" s="54"/>
    </row>
    <row r="227" spans="2:11" ht="16.5" x14ac:dyDescent="0.35">
      <c r="B227" s="1"/>
      <c r="C227" s="1"/>
      <c r="D227" s="1" t="s">
        <v>2</v>
      </c>
      <c r="E227" s="1"/>
      <c r="F227" s="78">
        <f>(IFERROR(
IF($C$3="Tanques",
   IF(F226&lt;100,
      0.13*POWER(F226,0.669),
      0.0145*F226+1.39-0.00000283*POWER(F226,2)
   ),
   IF($C$3="Fluxometros",
      IF(F226&lt;150,
         0.68*POWER(F226,0.4),
         0.0122*F226+3.37-0.00000215*POWER(F226,2)
      )
   )
),
0))/1000</f>
        <v>4.3104889768294183E-4</v>
      </c>
      <c r="G227" s="56" t="s">
        <v>37</v>
      </c>
      <c r="H227" s="78">
        <f>(IFERROR(
IF($C$3="Tanques",
   IF(H226&lt;100,
      0.13*POWER(H226,0.669),
      0.0145*H226+1.39-0.00000283*POWER(H226,2)
   ),
   IF($C$3="Fluxometros",
      IF(H226&lt;150,
         0.68*POWER(H226,0.4),
         0.0122*H226+3.37-0.00000215*POWER(H226,2)
      )
   )
),
0))/1000</f>
        <v>3.9421207807280794E-4</v>
      </c>
      <c r="I227" s="56" t="s">
        <v>37</v>
      </c>
      <c r="J227" s="78">
        <f>(IFERROR(
IF($C$3="Tanques",
   IF(J226&lt;100,
      0.13*POWER(J226,0.669),
      0.0145*J226+1.39-0.00000283*POWER(J226,2)
   ),
   IF($C$3="Fluxometros",
      IF(J226&lt;150,
         0.68*POWER(J226,0.4),
         0.0122*J226+3.37-0.00000215*POWER(J226,2)
      )
   )
),
0))/1000</f>
        <v>2.2364204607961224E-4</v>
      </c>
      <c r="K227" s="56" t="s">
        <v>37</v>
      </c>
    </row>
    <row r="228" spans="2:11" ht="15.5" x14ac:dyDescent="0.35">
      <c r="C228" s="1"/>
      <c r="F228" s="95">
        <f>(IFERROR(
IF($C$3="Tanques",
   IF(F226&lt;100,
      0.13*POWER(F226,0.669),
      0.0145*F226+1.39-0.00000283*POWER(F226,2)
   ),
   IF($C$3="Fluxometros",
      IF(F226&lt;150,
         0.68*POWER(F226,0.4),
         0.0122*F226+3.37-0.00000215*POWER(F226,2)
      )
   )
),
0))</f>
        <v>0.4310488976829418</v>
      </c>
      <c r="G228" s="55" t="s">
        <v>36</v>
      </c>
      <c r="H228" s="95">
        <f>(IFERROR(
IF($C$3="Tanques",
   IF(H226&lt;100,
      0.13*POWER(H226,0.669),
      0.0145*H226+1.39-0.00000283*POWER(H226,2)
   ),
   IF($C$3="Fluxometros",
      IF(H226&lt;150,
         0.68*POWER(H226,0.4),
         0.0122*H226+3.37-0.00000215*POWER(H226,2)
      )
   )
),
0))</f>
        <v>0.39421207807280795</v>
      </c>
      <c r="I228" s="55" t="s">
        <v>36</v>
      </c>
      <c r="J228" s="95">
        <f>(IFERROR(
IF($C$3="Tanques",
   IF(J226&lt;100,
      0.13*POWER(J226,0.669),
      0.0145*J226+1.39-0.00000283*POWER(J226,2)
   ),
   IF($C$3="Fluxometros",
      IF(J226&lt;150,
         0.68*POWER(J226,0.4),
         0.0122*J226+3.37-0.00000215*POWER(J226,2)
      )
   )
),
0))</f>
        <v>0.22364204607961224</v>
      </c>
      <c r="K228" s="55" t="s">
        <v>36</v>
      </c>
    </row>
    <row r="232" spans="2:11" x14ac:dyDescent="0.35">
      <c r="B232" s="47" t="s">
        <v>34</v>
      </c>
    </row>
    <row r="234" spans="2:11" ht="15.5" x14ac:dyDescent="0.35">
      <c r="B234" s="96" t="s">
        <v>38</v>
      </c>
      <c r="C234" s="96"/>
      <c r="D234" s="96"/>
      <c r="E234" s="96"/>
      <c r="F234" s="96"/>
      <c r="G234" s="96"/>
      <c r="H234" s="96"/>
      <c r="I234" s="96"/>
      <c r="J234" s="96"/>
    </row>
    <row r="235" spans="2:11" x14ac:dyDescent="0.35">
      <c r="B235" s="1" t="s">
        <v>74</v>
      </c>
      <c r="C235" s="66" t="s">
        <v>79</v>
      </c>
      <c r="D235" s="50"/>
      <c r="E235" s="50"/>
      <c r="F235" s="50"/>
      <c r="G235" s="50"/>
      <c r="H235" s="50"/>
      <c r="I235" s="50"/>
      <c r="J235" s="50"/>
    </row>
    <row r="236" spans="2:11" x14ac:dyDescent="0.35">
      <c r="B236" s="1" t="s">
        <v>72</v>
      </c>
      <c r="C236" s="66" t="s">
        <v>73</v>
      </c>
      <c r="D236" s="50"/>
      <c r="E236" s="50"/>
      <c r="F236" s="50"/>
      <c r="G236" s="50"/>
      <c r="H236" s="50"/>
      <c r="I236" s="50"/>
      <c r="J236" s="50"/>
    </row>
    <row r="237" spans="2:11" ht="16" thickBot="1" x14ac:dyDescent="0.4">
      <c r="B237" s="48"/>
      <c r="C237" s="49"/>
      <c r="D237" s="50"/>
      <c r="E237" s="50"/>
      <c r="F237" s="50"/>
      <c r="G237" s="50"/>
      <c r="H237" s="50"/>
      <c r="I237" s="50"/>
      <c r="J237" s="50"/>
    </row>
    <row r="238" spans="2:11" ht="31.5" thickBot="1" x14ac:dyDescent="0.4">
      <c r="B238" s="51" t="s">
        <v>0</v>
      </c>
      <c r="C238" s="51" t="s">
        <v>71</v>
      </c>
      <c r="D238" s="65" t="s">
        <v>69</v>
      </c>
      <c r="E238" s="65" t="s">
        <v>75</v>
      </c>
      <c r="F238" s="61" t="s">
        <v>70</v>
      </c>
      <c r="G238" s="79" t="s">
        <v>69</v>
      </c>
      <c r="H238" s="80" t="s">
        <v>77</v>
      </c>
      <c r="I238" s="87" t="s">
        <v>69</v>
      </c>
      <c r="J238" s="88" t="s">
        <v>78</v>
      </c>
    </row>
    <row r="239" spans="2:11" x14ac:dyDescent="0.35">
      <c r="B239" s="67" t="s">
        <v>55</v>
      </c>
      <c r="C239" s="70">
        <v>1</v>
      </c>
      <c r="D239" s="44">
        <f>IF(IF($C$4="Privado",1,0)=1,VLOOKUP(B239,'Piezas Sanitarias'!$B$4:$F$20,4,FALSE),VLOOKUP(B239,'Piezas Sanitarias'!$B$4:$F$20,5,FALSE))</f>
        <v>3</v>
      </c>
      <c r="E239" s="74" t="s">
        <v>80</v>
      </c>
      <c r="F239" s="62">
        <f>C239*D239</f>
        <v>3</v>
      </c>
      <c r="G239" s="81">
        <f>IF(E239="Fría",D239,D239*3/4)</f>
        <v>3</v>
      </c>
      <c r="H239" s="82">
        <f>C239*G239</f>
        <v>3</v>
      </c>
      <c r="I239" s="89">
        <f>IF(E239="Fría",0,D239*3/4)</f>
        <v>0</v>
      </c>
      <c r="J239" s="90">
        <f>C239*I239</f>
        <v>0</v>
      </c>
    </row>
    <row r="240" spans="2:11" x14ac:dyDescent="0.35">
      <c r="B240" s="68" t="s">
        <v>60</v>
      </c>
      <c r="C240" s="71">
        <v>1</v>
      </c>
      <c r="D240" s="45">
        <f>IF(IF($C$4="Privado",1,0)=1,VLOOKUP(B240,'Piezas Sanitarias'!$B$4:$F$20,4,FALSE),VLOOKUP(B240,'Piezas Sanitarias'!$B$4:$F$20,5,FALSE))</f>
        <v>1</v>
      </c>
      <c r="E240" s="75" t="s">
        <v>76</v>
      </c>
      <c r="F240" s="63">
        <f>C240*D240</f>
        <v>1</v>
      </c>
      <c r="G240" s="83">
        <f t="shared" ref="G240:G248" si="50">IF(E240="Fría",D240,D240*3/4)</f>
        <v>0.75</v>
      </c>
      <c r="H240" s="84">
        <f>C240*G240</f>
        <v>0.75</v>
      </c>
      <c r="I240" s="91">
        <f t="shared" ref="I240:I248" si="51">IF(E240="Fría",0,D240*3/4)</f>
        <v>0.75</v>
      </c>
      <c r="J240" s="92">
        <f>C240*I240</f>
        <v>0.75</v>
      </c>
    </row>
    <row r="241" spans="2:11" x14ac:dyDescent="0.35">
      <c r="B241" s="68" t="s">
        <v>51</v>
      </c>
      <c r="C241" s="71">
        <v>0</v>
      </c>
      <c r="D241" s="45">
        <f>IF(IF($C$4="Privado",1,0)=1,VLOOKUP(B241,'Piezas Sanitarias'!$B$4:$F$20,4,FALSE),VLOOKUP(B241,'Piezas Sanitarias'!$B$4:$F$20,5,FALSE))</f>
        <v>2</v>
      </c>
      <c r="E241" s="75" t="s">
        <v>76</v>
      </c>
      <c r="F241" s="63">
        <f t="shared" ref="F241:F248" si="52">C241*D241</f>
        <v>0</v>
      </c>
      <c r="G241" s="83">
        <f t="shared" si="50"/>
        <v>1.5</v>
      </c>
      <c r="H241" s="84">
        <f t="shared" ref="H241:H247" si="53">C241*G241</f>
        <v>0</v>
      </c>
      <c r="I241" s="91">
        <f t="shared" si="51"/>
        <v>1.5</v>
      </c>
      <c r="J241" s="92">
        <f>C241*I241</f>
        <v>0</v>
      </c>
    </row>
    <row r="242" spans="2:11" x14ac:dyDescent="0.35">
      <c r="B242" s="68" t="s">
        <v>68</v>
      </c>
      <c r="C242" s="71">
        <v>0</v>
      </c>
      <c r="D242" s="45">
        <f>IF(IF($C$4="Privado",1,0)=1,VLOOKUP(B242,'Piezas Sanitarias'!$B$4:$F$20,4,FALSE),VLOOKUP(B242,'Piezas Sanitarias'!$B$4:$F$20,5,FALSE))</f>
        <v>2</v>
      </c>
      <c r="E242" s="75" t="s">
        <v>80</v>
      </c>
      <c r="F242" s="63">
        <f t="shared" si="52"/>
        <v>0</v>
      </c>
      <c r="G242" s="83">
        <f t="shared" si="50"/>
        <v>2</v>
      </c>
      <c r="H242" s="84">
        <f t="shared" si="53"/>
        <v>0</v>
      </c>
      <c r="I242" s="91">
        <f t="shared" si="51"/>
        <v>0</v>
      </c>
      <c r="J242" s="92">
        <f t="shared" ref="J242:J245" si="54">C242*I242</f>
        <v>0</v>
      </c>
    </row>
    <row r="243" spans="2:11" x14ac:dyDescent="0.35">
      <c r="B243" s="68" t="s">
        <v>52</v>
      </c>
      <c r="C243" s="71">
        <v>0</v>
      </c>
      <c r="D243" s="45">
        <f>IF(IF($C$4="Privado",1,0)=1,VLOOKUP(B243,'Piezas Sanitarias'!$B$4:$F$20,4,FALSE),VLOOKUP(B243,'Piezas Sanitarias'!$B$4:$F$20,5,FALSE))</f>
        <v>2</v>
      </c>
      <c r="E243" s="75" t="s">
        <v>76</v>
      </c>
      <c r="F243" s="63">
        <f t="shared" si="52"/>
        <v>0</v>
      </c>
      <c r="G243" s="83">
        <f t="shared" si="50"/>
        <v>1.5</v>
      </c>
      <c r="H243" s="84">
        <f t="shared" si="53"/>
        <v>0</v>
      </c>
      <c r="I243" s="91">
        <f t="shared" si="51"/>
        <v>1.5</v>
      </c>
      <c r="J243" s="92">
        <f t="shared" si="54"/>
        <v>0</v>
      </c>
    </row>
    <row r="244" spans="2:11" x14ac:dyDescent="0.35">
      <c r="B244" s="68" t="s">
        <v>81</v>
      </c>
      <c r="C244" s="71"/>
      <c r="D244" s="45">
        <f>IF(IF($C$4="Privado",1,0)=1,VLOOKUP(B244,'Piezas Sanitarias'!$B$4:$F$20,4,FALSE),VLOOKUP(B244,'Piezas Sanitarias'!$B$4:$F$20,5,FALSE))</f>
        <v>0</v>
      </c>
      <c r="E244" s="75" t="s">
        <v>76</v>
      </c>
      <c r="F244" s="63">
        <f t="shared" si="52"/>
        <v>0</v>
      </c>
      <c r="G244" s="83">
        <f t="shared" si="50"/>
        <v>0</v>
      </c>
      <c r="H244" s="84">
        <f t="shared" si="53"/>
        <v>0</v>
      </c>
      <c r="I244" s="91">
        <f t="shared" si="51"/>
        <v>0</v>
      </c>
      <c r="J244" s="92">
        <f t="shared" si="54"/>
        <v>0</v>
      </c>
    </row>
    <row r="245" spans="2:11" x14ac:dyDescent="0.35">
      <c r="B245" s="68" t="s">
        <v>81</v>
      </c>
      <c r="C245" s="71"/>
      <c r="D245" s="45">
        <f>IF(IF($C$4="Privado",1,0)=1,VLOOKUP(B245,'Piezas Sanitarias'!$B$4:$F$20,4,FALSE),VLOOKUP(B245,'Piezas Sanitarias'!$B$4:$F$20,5,FALSE))</f>
        <v>0</v>
      </c>
      <c r="E245" s="75" t="s">
        <v>76</v>
      </c>
      <c r="F245" s="63">
        <f t="shared" si="52"/>
        <v>0</v>
      </c>
      <c r="G245" s="83">
        <f t="shared" si="50"/>
        <v>0</v>
      </c>
      <c r="H245" s="84">
        <f t="shared" si="53"/>
        <v>0</v>
      </c>
      <c r="I245" s="91">
        <f t="shared" si="51"/>
        <v>0</v>
      </c>
      <c r="J245" s="92">
        <f t="shared" si="54"/>
        <v>0</v>
      </c>
    </row>
    <row r="246" spans="2:11" x14ac:dyDescent="0.35">
      <c r="B246" s="68" t="s">
        <v>81</v>
      </c>
      <c r="C246" s="72"/>
      <c r="D246" s="45">
        <f>IF(IF($C$4="Privado",1,0)=1,VLOOKUP(B246,'Piezas Sanitarias'!$B$4:$F$20,4,FALSE),VLOOKUP(B246,'Piezas Sanitarias'!$B$4:$F$20,5,FALSE))</f>
        <v>0</v>
      </c>
      <c r="E246" s="75" t="s">
        <v>80</v>
      </c>
      <c r="F246" s="63">
        <f t="shared" si="52"/>
        <v>0</v>
      </c>
      <c r="G246" s="83">
        <f t="shared" si="50"/>
        <v>0</v>
      </c>
      <c r="H246" s="84">
        <f t="shared" si="53"/>
        <v>0</v>
      </c>
      <c r="I246" s="91">
        <f t="shared" si="51"/>
        <v>0</v>
      </c>
      <c r="J246" s="92">
        <f>C246*I246</f>
        <v>0</v>
      </c>
    </row>
    <row r="247" spans="2:11" x14ac:dyDescent="0.35">
      <c r="B247" s="68" t="s">
        <v>81</v>
      </c>
      <c r="C247" s="72"/>
      <c r="D247" s="45">
        <f>IF(IF($C$4="Privado",1,0)=1,VLOOKUP(B247,'Piezas Sanitarias'!$B$4:$F$20,4,FALSE),VLOOKUP(B247,'Piezas Sanitarias'!$B$4:$F$20,5,FALSE))</f>
        <v>0</v>
      </c>
      <c r="E247" s="75" t="s">
        <v>80</v>
      </c>
      <c r="F247" s="63">
        <f t="shared" si="52"/>
        <v>0</v>
      </c>
      <c r="G247" s="83">
        <f t="shared" si="50"/>
        <v>0</v>
      </c>
      <c r="H247" s="84">
        <f t="shared" si="53"/>
        <v>0</v>
      </c>
      <c r="I247" s="91">
        <f t="shared" si="51"/>
        <v>0</v>
      </c>
      <c r="J247" s="92">
        <f>C247*I247</f>
        <v>0</v>
      </c>
    </row>
    <row r="248" spans="2:11" ht="15" thickBot="1" x14ac:dyDescent="0.4">
      <c r="B248" s="69" t="s">
        <v>81</v>
      </c>
      <c r="C248" s="73"/>
      <c r="D248" s="46">
        <f>IF(IF($C$4="Privado",1,0)=1,VLOOKUP(B248,'Piezas Sanitarias'!$B$4:$F$20,4,FALSE),VLOOKUP(B248,'Piezas Sanitarias'!$B$4:$F$20,5,FALSE))</f>
        <v>0</v>
      </c>
      <c r="E248" s="76" t="s">
        <v>80</v>
      </c>
      <c r="F248" s="64">
        <f t="shared" si="52"/>
        <v>0</v>
      </c>
      <c r="G248" s="85">
        <f t="shared" si="50"/>
        <v>0</v>
      </c>
      <c r="H248" s="86">
        <f>C248*G248</f>
        <v>0</v>
      </c>
      <c r="I248" s="93">
        <f t="shared" si="51"/>
        <v>0</v>
      </c>
      <c r="J248" s="94">
        <f>C248*I248</f>
        <v>0</v>
      </c>
    </row>
    <row r="249" spans="2:11" ht="15.5" x14ac:dyDescent="0.35">
      <c r="B249" s="1"/>
      <c r="C249" s="52"/>
      <c r="D249" s="53" t="s">
        <v>1</v>
      </c>
      <c r="E249" s="53"/>
      <c r="F249" s="77">
        <f>SUM(F239:F248)</f>
        <v>4</v>
      </c>
      <c r="G249" s="54"/>
      <c r="H249" s="77">
        <f>SUM(H239:H248)</f>
        <v>3.75</v>
      </c>
      <c r="I249" s="54"/>
      <c r="J249" s="77">
        <f>SUM(J239:J248)</f>
        <v>0.75</v>
      </c>
      <c r="K249" s="54"/>
    </row>
    <row r="250" spans="2:11" ht="16.5" x14ac:dyDescent="0.35">
      <c r="B250" s="1"/>
      <c r="C250" s="1"/>
      <c r="D250" s="1" t="s">
        <v>2</v>
      </c>
      <c r="E250" s="1"/>
      <c r="F250" s="78">
        <f>(IFERROR(
IF($C$3="Tanques",
   IF(F249&lt;100,
      0.13*POWER(F249,0.669),
      0.0145*F249+1.39-0.00000283*POWER(F249,2)
   ),
   IF($C$3="Fluxometros",
      IF(F249&lt;150,
         0.68*POWER(F249,0.4),
         0.0122*F249+3.37-0.00000215*POWER(F249,2)
      )
   )
),
0))/1000</f>
        <v>3.286408055977298E-4</v>
      </c>
      <c r="G250" s="56" t="s">
        <v>37</v>
      </c>
      <c r="H250" s="78">
        <f>(IFERROR(
IF($C$3="Tanques",
   IF(H249&lt;100,
      0.13*POWER(H249,0.669),
      0.0145*H249+1.39-0.00000283*POWER(H249,2)
   ),
   IF($C$3="Fluxometros",
      IF(H249&lt;150,
         0.68*POWER(H249,0.4),
         0.0122*H249+3.37-0.00000215*POWER(H249,2)
      )
   )
),
0))/1000</f>
        <v>3.1475328426949371E-4</v>
      </c>
      <c r="I250" s="56" t="s">
        <v>37</v>
      </c>
      <c r="J250" s="78">
        <f>(IFERROR(
IF($C$3="Tanques",
   IF(J249&lt;100,
      0.13*POWER(J249,0.669),
      0.0145*J249+1.39-0.00000283*POWER(J249,2)
   ),
   IF($C$3="Fluxometros",
      IF(J249&lt;150,
         0.68*POWER(J249,0.4),
         0.0122*J249+3.37-0.00000215*POWER(J249,2)
      )
   )
),
0))/1000</f>
        <v>1.0724062527725242E-4</v>
      </c>
      <c r="K250" s="56" t="s">
        <v>37</v>
      </c>
    </row>
    <row r="251" spans="2:11" ht="15.5" x14ac:dyDescent="0.35">
      <c r="C251" s="1"/>
      <c r="F251" s="95">
        <f>(IFERROR(
IF($C$3="Tanques",
   IF(F249&lt;100,
      0.13*POWER(F249,0.669),
      0.0145*F249+1.39-0.00000283*POWER(F249,2)
   ),
   IF($C$3="Fluxometros",
      IF(F249&lt;150,
         0.68*POWER(F249,0.4),
         0.0122*F249+3.37-0.00000215*POWER(F249,2)
      )
   )
),
0))</f>
        <v>0.32864080559772979</v>
      </c>
      <c r="G251" s="55" t="s">
        <v>36</v>
      </c>
      <c r="H251" s="95">
        <f>(IFERROR(
IF($C$3="Tanques",
   IF(H249&lt;100,
      0.13*POWER(H249,0.669),
      0.0145*H249+1.39-0.00000283*POWER(H249,2)
   ),
   IF($C$3="Fluxometros",
      IF(H249&lt;150,
         0.68*POWER(H249,0.4),
         0.0122*H249+3.37-0.00000215*POWER(H249,2)
      )
   )
),
0))</f>
        <v>0.31475328426949373</v>
      </c>
      <c r="I251" s="55" t="s">
        <v>36</v>
      </c>
      <c r="J251" s="95">
        <f>(IFERROR(
IF($C$3="Tanques",
   IF(J249&lt;100,
      0.13*POWER(J249,0.669),
      0.0145*J249+1.39-0.00000283*POWER(J249,2)
   ),
   IF($C$3="Fluxometros",
      IF(J249&lt;150,
         0.68*POWER(J249,0.4),
         0.0122*J249+3.37-0.00000215*POWER(J249,2)
      )
   )
),
0))</f>
        <v>0.10724062527725242</v>
      </c>
      <c r="K251" s="55" t="s">
        <v>36</v>
      </c>
    </row>
    <row r="256" spans="2:11" x14ac:dyDescent="0.35">
      <c r="B256" s="111" t="s">
        <v>23</v>
      </c>
    </row>
    <row r="258" spans="2:10" ht="15.5" x14ac:dyDescent="0.35">
      <c r="B258" s="96" t="s">
        <v>38</v>
      </c>
      <c r="C258" s="96"/>
      <c r="D258" s="96"/>
      <c r="E258" s="96"/>
      <c r="F258" s="96"/>
      <c r="G258" s="96"/>
      <c r="H258" s="96"/>
      <c r="I258" s="96"/>
      <c r="J258" s="96"/>
    </row>
    <row r="259" spans="2:10" x14ac:dyDescent="0.35">
      <c r="B259" s="1" t="s">
        <v>74</v>
      </c>
      <c r="C259" s="66" t="s">
        <v>79</v>
      </c>
      <c r="D259" s="50"/>
      <c r="E259" s="50"/>
      <c r="F259" s="50"/>
      <c r="G259" s="50"/>
      <c r="H259" s="50"/>
      <c r="I259" s="50"/>
      <c r="J259" s="50"/>
    </row>
    <row r="260" spans="2:10" x14ac:dyDescent="0.35">
      <c r="B260" s="1" t="s">
        <v>72</v>
      </c>
      <c r="C260" s="66" t="s">
        <v>73</v>
      </c>
      <c r="D260" s="50"/>
      <c r="E260" s="50"/>
      <c r="F260" s="50"/>
      <c r="G260" s="50"/>
      <c r="H260" s="50"/>
      <c r="I260" s="50"/>
      <c r="J260" s="50"/>
    </row>
    <row r="261" spans="2:10" ht="16" thickBot="1" x14ac:dyDescent="0.4">
      <c r="B261" s="48"/>
      <c r="C261" s="49"/>
      <c r="D261" s="50"/>
      <c r="E261" s="50"/>
      <c r="F261" s="50"/>
      <c r="G261" s="50"/>
      <c r="H261" s="50"/>
      <c r="I261" s="50"/>
      <c r="J261" s="50"/>
    </row>
    <row r="262" spans="2:10" ht="31.5" thickBot="1" x14ac:dyDescent="0.4">
      <c r="B262" s="51" t="s">
        <v>0</v>
      </c>
      <c r="C262" s="51" t="s">
        <v>71</v>
      </c>
      <c r="D262" s="65" t="s">
        <v>69</v>
      </c>
      <c r="E262" s="65" t="s">
        <v>75</v>
      </c>
      <c r="F262" s="61" t="s">
        <v>70</v>
      </c>
      <c r="G262" s="79" t="s">
        <v>69</v>
      </c>
      <c r="H262" s="80" t="s">
        <v>77</v>
      </c>
      <c r="I262" s="87" t="s">
        <v>69</v>
      </c>
      <c r="J262" s="88" t="s">
        <v>78</v>
      </c>
    </row>
    <row r="263" spans="2:10" x14ac:dyDescent="0.35">
      <c r="B263" s="67" t="s">
        <v>55</v>
      </c>
      <c r="C263" s="70">
        <v>0</v>
      </c>
      <c r="D263" s="44">
        <f>IF(IF($C$4="Privado",1,0)=1,VLOOKUP(B263,'Piezas Sanitarias'!$B$4:$F$20,4,FALSE),VLOOKUP(B263,'Piezas Sanitarias'!$B$4:$F$20,5,FALSE))</f>
        <v>3</v>
      </c>
      <c r="E263" s="74" t="s">
        <v>80</v>
      </c>
      <c r="F263" s="62">
        <f>C263*D263</f>
        <v>0</v>
      </c>
      <c r="G263" s="81">
        <f>IF(E263="Fría",D263,D263*3/4)</f>
        <v>3</v>
      </c>
      <c r="H263" s="82">
        <f>C263*G263</f>
        <v>0</v>
      </c>
      <c r="I263" s="89">
        <f>IF(E263="Fría",0,D263*3/4)</f>
        <v>0</v>
      </c>
      <c r="J263" s="90">
        <f>C263*I263</f>
        <v>0</v>
      </c>
    </row>
    <row r="264" spans="2:10" x14ac:dyDescent="0.35">
      <c r="B264" s="68" t="s">
        <v>60</v>
      </c>
      <c r="C264" s="71">
        <v>0</v>
      </c>
      <c r="D264" s="45">
        <f>IF(IF($C$4="Privado",1,0)=1,VLOOKUP(B264,'Piezas Sanitarias'!$B$4:$F$20,4,FALSE),VLOOKUP(B264,'Piezas Sanitarias'!$B$4:$F$20,5,FALSE))</f>
        <v>1</v>
      </c>
      <c r="E264" s="75" t="s">
        <v>76</v>
      </c>
      <c r="F264" s="63">
        <f>C264*D264</f>
        <v>0</v>
      </c>
      <c r="G264" s="83">
        <f t="shared" ref="G264:G272" si="55">IF(E264="Fría",D264,D264*3/4)</f>
        <v>0.75</v>
      </c>
      <c r="H264" s="84">
        <f>C264*G264</f>
        <v>0</v>
      </c>
      <c r="I264" s="91">
        <f t="shared" ref="I264:I272" si="56">IF(E264="Fría",0,D264*3/4)</f>
        <v>0.75</v>
      </c>
      <c r="J264" s="92">
        <f>C264*I264</f>
        <v>0</v>
      </c>
    </row>
    <row r="265" spans="2:10" x14ac:dyDescent="0.35">
      <c r="B265" s="68" t="s">
        <v>51</v>
      </c>
      <c r="C265" s="71">
        <v>0</v>
      </c>
      <c r="D265" s="45">
        <f>IF(IF($C$4="Privado",1,0)=1,VLOOKUP(B265,'Piezas Sanitarias'!$B$4:$F$20,4,FALSE),VLOOKUP(B265,'Piezas Sanitarias'!$B$4:$F$20,5,FALSE))</f>
        <v>2</v>
      </c>
      <c r="E265" s="75" t="s">
        <v>76</v>
      </c>
      <c r="F265" s="63">
        <f t="shared" ref="F265:F272" si="57">C265*D265</f>
        <v>0</v>
      </c>
      <c r="G265" s="83">
        <f t="shared" si="55"/>
        <v>1.5</v>
      </c>
      <c r="H265" s="84">
        <f t="shared" ref="H265:H271" si="58">C265*G265</f>
        <v>0</v>
      </c>
      <c r="I265" s="91">
        <f t="shared" si="56"/>
        <v>1.5</v>
      </c>
      <c r="J265" s="92">
        <f>C265*I265</f>
        <v>0</v>
      </c>
    </row>
    <row r="266" spans="2:10" x14ac:dyDescent="0.35">
      <c r="B266" s="68" t="s">
        <v>68</v>
      </c>
      <c r="C266" s="71">
        <v>0</v>
      </c>
      <c r="D266" s="45">
        <f>IF(IF($C$4="Privado",1,0)=1,VLOOKUP(B266,'Piezas Sanitarias'!$B$4:$F$20,4,FALSE),VLOOKUP(B266,'Piezas Sanitarias'!$B$4:$F$20,5,FALSE))</f>
        <v>2</v>
      </c>
      <c r="E266" s="75" t="s">
        <v>80</v>
      </c>
      <c r="F266" s="63">
        <f t="shared" si="57"/>
        <v>0</v>
      </c>
      <c r="G266" s="83">
        <f t="shared" si="55"/>
        <v>2</v>
      </c>
      <c r="H266" s="84">
        <f t="shared" si="58"/>
        <v>0</v>
      </c>
      <c r="I266" s="91">
        <f t="shared" si="56"/>
        <v>0</v>
      </c>
      <c r="J266" s="92">
        <f t="shared" ref="J266:J269" si="59">C266*I266</f>
        <v>0</v>
      </c>
    </row>
    <row r="267" spans="2:10" x14ac:dyDescent="0.35">
      <c r="B267" s="68" t="s">
        <v>52</v>
      </c>
      <c r="C267" s="71">
        <v>2</v>
      </c>
      <c r="D267" s="45">
        <f>IF(IF($C$4="Privado",1,0)=1,VLOOKUP(B267,'Piezas Sanitarias'!$B$4:$F$20,4,FALSE),VLOOKUP(B267,'Piezas Sanitarias'!$B$4:$F$20,5,FALSE))</f>
        <v>2</v>
      </c>
      <c r="E267" s="75" t="s">
        <v>76</v>
      </c>
      <c r="F267" s="63">
        <f t="shared" si="57"/>
        <v>4</v>
      </c>
      <c r="G267" s="83">
        <f t="shared" si="55"/>
        <v>1.5</v>
      </c>
      <c r="H267" s="84">
        <f t="shared" si="58"/>
        <v>3</v>
      </c>
      <c r="I267" s="91">
        <f t="shared" si="56"/>
        <v>1.5</v>
      </c>
      <c r="J267" s="92">
        <f t="shared" si="59"/>
        <v>3</v>
      </c>
    </row>
    <row r="268" spans="2:10" x14ac:dyDescent="0.35">
      <c r="B268" s="68" t="s">
        <v>81</v>
      </c>
      <c r="C268" s="71"/>
      <c r="D268" s="45">
        <f>IF(IF($C$4="Privado",1,0)=1,VLOOKUP(B268,'Piezas Sanitarias'!$B$4:$F$20,4,FALSE),VLOOKUP(B268,'Piezas Sanitarias'!$B$4:$F$20,5,FALSE))</f>
        <v>0</v>
      </c>
      <c r="E268" s="75" t="s">
        <v>76</v>
      </c>
      <c r="F268" s="63">
        <f t="shared" si="57"/>
        <v>0</v>
      </c>
      <c r="G268" s="83">
        <f t="shared" si="55"/>
        <v>0</v>
      </c>
      <c r="H268" s="84">
        <f t="shared" si="58"/>
        <v>0</v>
      </c>
      <c r="I268" s="91">
        <f t="shared" si="56"/>
        <v>0</v>
      </c>
      <c r="J268" s="92">
        <f t="shared" si="59"/>
        <v>0</v>
      </c>
    </row>
    <row r="269" spans="2:10" x14ac:dyDescent="0.35">
      <c r="B269" s="68" t="s">
        <v>81</v>
      </c>
      <c r="C269" s="71"/>
      <c r="D269" s="45">
        <f>IF(IF($C$4="Privado",1,0)=1,VLOOKUP(B269,'Piezas Sanitarias'!$B$4:$F$20,4,FALSE),VLOOKUP(B269,'Piezas Sanitarias'!$B$4:$F$20,5,FALSE))</f>
        <v>0</v>
      </c>
      <c r="E269" s="75" t="s">
        <v>76</v>
      </c>
      <c r="F269" s="63">
        <f t="shared" si="57"/>
        <v>0</v>
      </c>
      <c r="G269" s="83">
        <f t="shared" si="55"/>
        <v>0</v>
      </c>
      <c r="H269" s="84">
        <f t="shared" si="58"/>
        <v>0</v>
      </c>
      <c r="I269" s="91">
        <f t="shared" si="56"/>
        <v>0</v>
      </c>
      <c r="J269" s="92">
        <f t="shared" si="59"/>
        <v>0</v>
      </c>
    </row>
    <row r="270" spans="2:10" x14ac:dyDescent="0.35">
      <c r="B270" s="68" t="s">
        <v>81</v>
      </c>
      <c r="C270" s="72"/>
      <c r="D270" s="45">
        <f>IF(IF($C$4="Privado",1,0)=1,VLOOKUP(B270,'Piezas Sanitarias'!$B$4:$F$20,4,FALSE),VLOOKUP(B270,'Piezas Sanitarias'!$B$4:$F$20,5,FALSE))</f>
        <v>0</v>
      </c>
      <c r="E270" s="75" t="s">
        <v>80</v>
      </c>
      <c r="F270" s="63">
        <f t="shared" si="57"/>
        <v>0</v>
      </c>
      <c r="G270" s="83">
        <f t="shared" si="55"/>
        <v>0</v>
      </c>
      <c r="H270" s="84">
        <f t="shared" si="58"/>
        <v>0</v>
      </c>
      <c r="I270" s="91">
        <f t="shared" si="56"/>
        <v>0</v>
      </c>
      <c r="J270" s="92">
        <f>C270*I270</f>
        <v>0</v>
      </c>
    </row>
    <row r="271" spans="2:10" x14ac:dyDescent="0.35">
      <c r="B271" s="68" t="s">
        <v>81</v>
      </c>
      <c r="C271" s="72"/>
      <c r="D271" s="45">
        <f>IF(IF($C$4="Privado",1,0)=1,VLOOKUP(B271,'Piezas Sanitarias'!$B$4:$F$20,4,FALSE),VLOOKUP(B271,'Piezas Sanitarias'!$B$4:$F$20,5,FALSE))</f>
        <v>0</v>
      </c>
      <c r="E271" s="75" t="s">
        <v>80</v>
      </c>
      <c r="F271" s="63">
        <f t="shared" si="57"/>
        <v>0</v>
      </c>
      <c r="G271" s="83">
        <f t="shared" si="55"/>
        <v>0</v>
      </c>
      <c r="H271" s="84">
        <f t="shared" si="58"/>
        <v>0</v>
      </c>
      <c r="I271" s="91">
        <f t="shared" si="56"/>
        <v>0</v>
      </c>
      <c r="J271" s="92">
        <f>C271*I271</f>
        <v>0</v>
      </c>
    </row>
    <row r="272" spans="2:10" ht="15" thickBot="1" x14ac:dyDescent="0.4">
      <c r="B272" s="69" t="s">
        <v>81</v>
      </c>
      <c r="C272" s="73"/>
      <c r="D272" s="46">
        <f>IF(IF($C$4="Privado",1,0)=1,VLOOKUP(B272,'Piezas Sanitarias'!$B$4:$F$20,4,FALSE),VLOOKUP(B272,'Piezas Sanitarias'!$B$4:$F$20,5,FALSE))</f>
        <v>0</v>
      </c>
      <c r="E272" s="76" t="s">
        <v>80</v>
      </c>
      <c r="F272" s="64">
        <f t="shared" si="57"/>
        <v>0</v>
      </c>
      <c r="G272" s="85">
        <f t="shared" si="55"/>
        <v>0</v>
      </c>
      <c r="H272" s="86">
        <f>C272*G272</f>
        <v>0</v>
      </c>
      <c r="I272" s="93">
        <f t="shared" si="56"/>
        <v>0</v>
      </c>
      <c r="J272" s="94">
        <f>C272*I272</f>
        <v>0</v>
      </c>
    </row>
    <row r="273" spans="2:11" ht="15.5" x14ac:dyDescent="0.35">
      <c r="B273" s="1"/>
      <c r="C273" s="52"/>
      <c r="D273" s="53" t="s">
        <v>1</v>
      </c>
      <c r="E273" s="53"/>
      <c r="F273" s="77">
        <f>SUM(F263:F272)</f>
        <v>4</v>
      </c>
      <c r="G273" s="54"/>
      <c r="H273" s="77">
        <f>SUM(H263:H272)</f>
        <v>3</v>
      </c>
      <c r="I273" s="54"/>
      <c r="J273" s="77">
        <f>SUM(J263:J272)</f>
        <v>3</v>
      </c>
      <c r="K273" s="54"/>
    </row>
    <row r="274" spans="2:11" ht="16.5" x14ac:dyDescent="0.35">
      <c r="B274" s="1"/>
      <c r="C274" s="1"/>
      <c r="D274" s="1" t="s">
        <v>2</v>
      </c>
      <c r="E274" s="1"/>
      <c r="F274" s="78">
        <f>(IFERROR(
IF($C$3="Tanques",
   IF(F273&lt;100,
      0.13*POWER(F273,0.669),
      0.0145*F273+1.39-0.00000283*POWER(F273,2)
   ),
   IF($C$3="Fluxometros",
      IF(F273&lt;150,
         0.68*POWER(F273,0.4),
         0.0122*F273+3.37-0.00000215*POWER(F273,2)
      )
   )
),
0))/1000</f>
        <v>3.286408055977298E-4</v>
      </c>
      <c r="G274" s="56" t="s">
        <v>37</v>
      </c>
      <c r="H274" s="78">
        <f>(IFERROR(
IF($C$3="Tanques",
   IF(H273&lt;100,
      0.13*POWER(H273,0.669),
      0.0145*H273+1.39-0.00000283*POWER(H273,2)
   ),
   IF($C$3="Fluxometros",
      IF(H273&lt;150,
         0.68*POWER(H273,0.4),
         0.0122*H273+3.37-0.00000215*POWER(H273,2)
      )
   )
),
0))/1000</f>
        <v>2.71104965260927E-4</v>
      </c>
      <c r="I274" s="56" t="s">
        <v>37</v>
      </c>
      <c r="J274" s="78">
        <f>(IFERROR(
IF($C$3="Tanques",
   IF(J273&lt;100,
      0.13*POWER(J273,0.669),
      0.0145*J273+1.39-0.00000283*POWER(J273,2)
   ),
   IF($C$3="Fluxometros",
      IF(J273&lt;150,
         0.68*POWER(J273,0.4),
         0.0122*J273+3.37-0.00000215*POWER(J273,2)
      )
   )
),
0))/1000</f>
        <v>2.71104965260927E-4</v>
      </c>
      <c r="K274" s="56" t="s">
        <v>37</v>
      </c>
    </row>
    <row r="275" spans="2:11" ht="15.5" x14ac:dyDescent="0.35">
      <c r="C275" s="1"/>
      <c r="F275" s="95">
        <f>(IFERROR(
IF($C$3="Tanques",
   IF(F273&lt;100,
      0.13*POWER(F273,0.669),
      0.0145*F273+1.39-0.00000283*POWER(F273,2)
   ),
   IF($C$3="Fluxometros",
      IF(F273&lt;150,
         0.68*POWER(F273,0.4),
         0.0122*F273+3.37-0.00000215*POWER(F273,2)
      )
   )
),
0))</f>
        <v>0.32864080559772979</v>
      </c>
      <c r="G275" s="55" t="s">
        <v>36</v>
      </c>
      <c r="H275" s="95">
        <f>(IFERROR(
IF($C$3="Tanques",
   IF(H273&lt;100,
      0.13*POWER(H273,0.669),
      0.0145*H273+1.39-0.00000283*POWER(H273,2)
   ),
   IF($C$3="Fluxometros",
      IF(H273&lt;150,
         0.68*POWER(H273,0.4),
         0.0122*H273+3.37-0.00000215*POWER(H273,2)
      )
   )
),
0))</f>
        <v>0.27110496526092698</v>
      </c>
      <c r="I275" s="55" t="s">
        <v>36</v>
      </c>
      <c r="J275" s="95">
        <f>(IFERROR(
IF($C$3="Tanques",
   IF(J273&lt;100,
      0.13*POWER(J273,0.669),
      0.0145*J273+1.39-0.00000283*POWER(J273,2)
   ),
   IF($C$3="Fluxometros",
      IF(J273&lt;150,
         0.68*POWER(J273,0.4),
         0.0122*J273+3.37-0.00000215*POWER(J273,2)
      )
   )
),
0))</f>
        <v>0.27110496526092698</v>
      </c>
      <c r="K275" s="55" t="s">
        <v>36</v>
      </c>
    </row>
    <row r="279" spans="2:11" x14ac:dyDescent="0.35">
      <c r="B279" s="111" t="s">
        <v>91</v>
      </c>
    </row>
    <row r="281" spans="2:11" ht="15.5" x14ac:dyDescent="0.35">
      <c r="B281" s="96" t="s">
        <v>38</v>
      </c>
      <c r="C281" s="96"/>
      <c r="D281" s="96"/>
      <c r="E281" s="96"/>
      <c r="F281" s="96"/>
      <c r="G281" s="96"/>
      <c r="H281" s="96"/>
      <c r="I281" s="96"/>
      <c r="J281" s="96"/>
    </row>
    <row r="282" spans="2:11" x14ac:dyDescent="0.35">
      <c r="B282" s="1" t="s">
        <v>74</v>
      </c>
      <c r="C282" s="66" t="s">
        <v>79</v>
      </c>
      <c r="D282" s="50"/>
      <c r="E282" s="50"/>
      <c r="F282" s="50"/>
      <c r="G282" s="50"/>
      <c r="H282" s="50"/>
      <c r="I282" s="50"/>
      <c r="J282" s="50"/>
    </row>
    <row r="283" spans="2:11" x14ac:dyDescent="0.35">
      <c r="B283" s="1" t="s">
        <v>72</v>
      </c>
      <c r="C283" s="66" t="s">
        <v>73</v>
      </c>
      <c r="D283" s="50"/>
      <c r="E283" s="50"/>
      <c r="F283" s="50"/>
      <c r="G283" s="50"/>
      <c r="H283" s="50"/>
      <c r="I283" s="50"/>
      <c r="J283" s="50"/>
    </row>
    <row r="284" spans="2:11" ht="16" thickBot="1" x14ac:dyDescent="0.4">
      <c r="B284" s="48"/>
      <c r="C284" s="49"/>
      <c r="D284" s="50"/>
      <c r="E284" s="50"/>
      <c r="F284" s="50"/>
      <c r="G284" s="50"/>
      <c r="H284" s="50"/>
      <c r="I284" s="50"/>
      <c r="J284" s="50"/>
    </row>
    <row r="285" spans="2:11" ht="31.5" thickBot="1" x14ac:dyDescent="0.4">
      <c r="B285" s="51" t="s">
        <v>0</v>
      </c>
      <c r="C285" s="51" t="s">
        <v>71</v>
      </c>
      <c r="D285" s="65" t="s">
        <v>69</v>
      </c>
      <c r="E285" s="65" t="s">
        <v>75</v>
      </c>
      <c r="F285" s="61" t="s">
        <v>70</v>
      </c>
      <c r="G285" s="79" t="s">
        <v>69</v>
      </c>
      <c r="H285" s="80" t="s">
        <v>77</v>
      </c>
      <c r="I285" s="87" t="s">
        <v>69</v>
      </c>
      <c r="J285" s="88" t="s">
        <v>78</v>
      </c>
    </row>
    <row r="286" spans="2:11" x14ac:dyDescent="0.35">
      <c r="B286" s="67" t="s">
        <v>55</v>
      </c>
      <c r="C286" s="70">
        <v>5</v>
      </c>
      <c r="D286" s="44">
        <f>IF(IF($C$4="Privado",1,0)=1,VLOOKUP(B286,'Piezas Sanitarias'!$B$4:$F$20,4,FALSE),VLOOKUP(B286,'Piezas Sanitarias'!$B$4:$F$20,5,FALSE))</f>
        <v>3</v>
      </c>
      <c r="E286" s="74" t="s">
        <v>80</v>
      </c>
      <c r="F286" s="62">
        <f>C286*D286</f>
        <v>15</v>
      </c>
      <c r="G286" s="81">
        <f>IF(E286="Fría",D286,D286*3/4)</f>
        <v>3</v>
      </c>
      <c r="H286" s="82">
        <f>C286*G286</f>
        <v>15</v>
      </c>
      <c r="I286" s="89">
        <f>IF(E286="Fría",0,D286*3/4)</f>
        <v>0</v>
      </c>
      <c r="J286" s="90">
        <f>C286*I286</f>
        <v>0</v>
      </c>
    </row>
    <row r="287" spans="2:11" x14ac:dyDescent="0.35">
      <c r="B287" s="68" t="s">
        <v>60</v>
      </c>
      <c r="C287" s="71">
        <v>5</v>
      </c>
      <c r="D287" s="45">
        <f>IF(IF($C$4="Privado",1,0)=1,VLOOKUP(B287,'Piezas Sanitarias'!$B$4:$F$20,4,FALSE),VLOOKUP(B287,'Piezas Sanitarias'!$B$4:$F$20,5,FALSE))</f>
        <v>1</v>
      </c>
      <c r="E287" s="75" t="s">
        <v>76</v>
      </c>
      <c r="F287" s="63">
        <f>C287*D287</f>
        <v>5</v>
      </c>
      <c r="G287" s="83">
        <f t="shared" ref="G287:G295" si="60">IF(E287="Fría",D287,D287*3/4)</f>
        <v>0.75</v>
      </c>
      <c r="H287" s="84">
        <f>C287*G287</f>
        <v>3.75</v>
      </c>
      <c r="I287" s="91">
        <f t="shared" ref="I287:I295" si="61">IF(E287="Fría",0,D287*3/4)</f>
        <v>0.75</v>
      </c>
      <c r="J287" s="92">
        <f>C287*I287</f>
        <v>3.75</v>
      </c>
    </row>
    <row r="288" spans="2:11" x14ac:dyDescent="0.35">
      <c r="B288" s="68" t="s">
        <v>51</v>
      </c>
      <c r="C288" s="71">
        <v>2</v>
      </c>
      <c r="D288" s="45">
        <f>IF(IF($C$4="Privado",1,0)=1,VLOOKUP(B288,'Piezas Sanitarias'!$B$4:$F$20,4,FALSE),VLOOKUP(B288,'Piezas Sanitarias'!$B$4:$F$20,5,FALSE))</f>
        <v>2</v>
      </c>
      <c r="E288" s="75" t="s">
        <v>76</v>
      </c>
      <c r="F288" s="63">
        <f t="shared" ref="F288:F295" si="62">C288*D288</f>
        <v>4</v>
      </c>
      <c r="G288" s="83">
        <f t="shared" si="60"/>
        <v>1.5</v>
      </c>
      <c r="H288" s="84">
        <f t="shared" ref="H288:H294" si="63">C288*G288</f>
        <v>3</v>
      </c>
      <c r="I288" s="91">
        <f t="shared" si="61"/>
        <v>1.5</v>
      </c>
      <c r="J288" s="92">
        <f>C288*I288</f>
        <v>3</v>
      </c>
    </row>
    <row r="289" spans="2:11" x14ac:dyDescent="0.35">
      <c r="B289" s="68" t="s">
        <v>68</v>
      </c>
      <c r="C289" s="71">
        <v>1</v>
      </c>
      <c r="D289" s="45">
        <f>IF(IF($C$4="Privado",1,0)=1,VLOOKUP(B289,'Piezas Sanitarias'!$B$4:$F$20,4,FALSE),VLOOKUP(B289,'Piezas Sanitarias'!$B$4:$F$20,5,FALSE))</f>
        <v>2</v>
      </c>
      <c r="E289" s="75" t="s">
        <v>80</v>
      </c>
      <c r="F289" s="63">
        <f t="shared" si="62"/>
        <v>2</v>
      </c>
      <c r="G289" s="83">
        <f t="shared" si="60"/>
        <v>2</v>
      </c>
      <c r="H289" s="84">
        <f t="shared" si="63"/>
        <v>2</v>
      </c>
      <c r="I289" s="91">
        <f t="shared" si="61"/>
        <v>0</v>
      </c>
      <c r="J289" s="92">
        <f t="shared" ref="J289:J292" si="64">C289*I289</f>
        <v>0</v>
      </c>
    </row>
    <row r="290" spans="2:11" x14ac:dyDescent="0.35">
      <c r="B290" s="68" t="s">
        <v>52</v>
      </c>
      <c r="C290" s="71">
        <v>0</v>
      </c>
      <c r="D290" s="45">
        <f>IF(IF($C$4="Privado",1,0)=1,VLOOKUP(B290,'Piezas Sanitarias'!$B$4:$F$20,4,FALSE),VLOOKUP(B290,'Piezas Sanitarias'!$B$4:$F$20,5,FALSE))</f>
        <v>2</v>
      </c>
      <c r="E290" s="75" t="s">
        <v>76</v>
      </c>
      <c r="F290" s="63">
        <f t="shared" si="62"/>
        <v>0</v>
      </c>
      <c r="G290" s="83">
        <f t="shared" si="60"/>
        <v>1.5</v>
      </c>
      <c r="H290" s="84">
        <f t="shared" si="63"/>
        <v>0</v>
      </c>
      <c r="I290" s="91">
        <f t="shared" si="61"/>
        <v>1.5</v>
      </c>
      <c r="J290" s="92">
        <f t="shared" si="64"/>
        <v>0</v>
      </c>
    </row>
    <row r="291" spans="2:11" x14ac:dyDescent="0.35">
      <c r="B291" s="68" t="s">
        <v>81</v>
      </c>
      <c r="C291" s="71"/>
      <c r="D291" s="45">
        <f>IF(IF($C$4="Privado",1,0)=1,VLOOKUP(B291,'Piezas Sanitarias'!$B$4:$F$20,4,FALSE),VLOOKUP(B291,'Piezas Sanitarias'!$B$4:$F$20,5,FALSE))</f>
        <v>0</v>
      </c>
      <c r="E291" s="75" t="s">
        <v>76</v>
      </c>
      <c r="F291" s="63">
        <f t="shared" si="62"/>
        <v>0</v>
      </c>
      <c r="G291" s="83">
        <f t="shared" si="60"/>
        <v>0</v>
      </c>
      <c r="H291" s="84">
        <f t="shared" si="63"/>
        <v>0</v>
      </c>
      <c r="I291" s="91">
        <f t="shared" si="61"/>
        <v>0</v>
      </c>
      <c r="J291" s="92">
        <f t="shared" si="64"/>
        <v>0</v>
      </c>
    </row>
    <row r="292" spans="2:11" x14ac:dyDescent="0.35">
      <c r="B292" s="68" t="s">
        <v>81</v>
      </c>
      <c r="C292" s="71"/>
      <c r="D292" s="45">
        <f>IF(IF($C$4="Privado",1,0)=1,VLOOKUP(B292,'Piezas Sanitarias'!$B$4:$F$20,4,FALSE),VLOOKUP(B292,'Piezas Sanitarias'!$B$4:$F$20,5,FALSE))</f>
        <v>0</v>
      </c>
      <c r="E292" s="75" t="s">
        <v>76</v>
      </c>
      <c r="F292" s="63">
        <f t="shared" si="62"/>
        <v>0</v>
      </c>
      <c r="G292" s="83">
        <f t="shared" si="60"/>
        <v>0</v>
      </c>
      <c r="H292" s="84">
        <f t="shared" si="63"/>
        <v>0</v>
      </c>
      <c r="I292" s="91">
        <f t="shared" si="61"/>
        <v>0</v>
      </c>
      <c r="J292" s="92">
        <f t="shared" si="64"/>
        <v>0</v>
      </c>
    </row>
    <row r="293" spans="2:11" x14ac:dyDescent="0.35">
      <c r="B293" s="68" t="s">
        <v>81</v>
      </c>
      <c r="C293" s="72"/>
      <c r="D293" s="45">
        <f>IF(IF($C$4="Privado",1,0)=1,VLOOKUP(B293,'Piezas Sanitarias'!$B$4:$F$20,4,FALSE),VLOOKUP(B293,'Piezas Sanitarias'!$B$4:$F$20,5,FALSE))</f>
        <v>0</v>
      </c>
      <c r="E293" s="75" t="s">
        <v>80</v>
      </c>
      <c r="F293" s="63">
        <f t="shared" si="62"/>
        <v>0</v>
      </c>
      <c r="G293" s="83">
        <f t="shared" si="60"/>
        <v>0</v>
      </c>
      <c r="H293" s="84">
        <f t="shared" si="63"/>
        <v>0</v>
      </c>
      <c r="I293" s="91">
        <f t="shared" si="61"/>
        <v>0</v>
      </c>
      <c r="J293" s="92">
        <f>C293*I293</f>
        <v>0</v>
      </c>
    </row>
    <row r="294" spans="2:11" x14ac:dyDescent="0.35">
      <c r="B294" s="68" t="s">
        <v>81</v>
      </c>
      <c r="C294" s="72"/>
      <c r="D294" s="45">
        <f>IF(IF($C$4="Privado",1,0)=1,VLOOKUP(B294,'Piezas Sanitarias'!$B$4:$F$20,4,FALSE),VLOOKUP(B294,'Piezas Sanitarias'!$B$4:$F$20,5,FALSE))</f>
        <v>0</v>
      </c>
      <c r="E294" s="75" t="s">
        <v>80</v>
      </c>
      <c r="F294" s="63">
        <f t="shared" si="62"/>
        <v>0</v>
      </c>
      <c r="G294" s="83">
        <f t="shared" si="60"/>
        <v>0</v>
      </c>
      <c r="H294" s="84">
        <f t="shared" si="63"/>
        <v>0</v>
      </c>
      <c r="I294" s="91">
        <f t="shared" si="61"/>
        <v>0</v>
      </c>
      <c r="J294" s="92">
        <f>C294*I294</f>
        <v>0</v>
      </c>
    </row>
    <row r="295" spans="2:11" ht="15" thickBot="1" x14ac:dyDescent="0.4">
      <c r="B295" s="69" t="s">
        <v>81</v>
      </c>
      <c r="C295" s="73"/>
      <c r="D295" s="46">
        <f>IF(IF($C$4="Privado",1,0)=1,VLOOKUP(B295,'Piezas Sanitarias'!$B$4:$F$20,4,FALSE),VLOOKUP(B295,'Piezas Sanitarias'!$B$4:$F$20,5,FALSE))</f>
        <v>0</v>
      </c>
      <c r="E295" s="76" t="s">
        <v>80</v>
      </c>
      <c r="F295" s="64">
        <f t="shared" si="62"/>
        <v>0</v>
      </c>
      <c r="G295" s="85">
        <f t="shared" si="60"/>
        <v>0</v>
      </c>
      <c r="H295" s="86">
        <f>C295*G295</f>
        <v>0</v>
      </c>
      <c r="I295" s="93">
        <f t="shared" si="61"/>
        <v>0</v>
      </c>
      <c r="J295" s="94">
        <f>C295*I295</f>
        <v>0</v>
      </c>
    </row>
    <row r="296" spans="2:11" ht="15.5" x14ac:dyDescent="0.35">
      <c r="B296" s="1"/>
      <c r="C296" s="52"/>
      <c r="D296" s="53" t="s">
        <v>1</v>
      </c>
      <c r="E296" s="53"/>
      <c r="F296" s="77">
        <f>SUM(F286:F295)</f>
        <v>26</v>
      </c>
      <c r="G296" s="54"/>
      <c r="H296" s="77">
        <f>SUM(H286:H295)</f>
        <v>23.75</v>
      </c>
      <c r="I296" s="54"/>
      <c r="J296" s="77">
        <f>SUM(J286:J295)</f>
        <v>6.75</v>
      </c>
      <c r="K296" s="54"/>
    </row>
    <row r="297" spans="2:11" ht="16.5" x14ac:dyDescent="0.35">
      <c r="B297" s="1"/>
      <c r="C297" s="1"/>
      <c r="D297" s="1" t="s">
        <v>2</v>
      </c>
      <c r="E297" s="1"/>
      <c r="F297" s="78">
        <f>(IFERROR(
IF($C$3="Tanques",
   IF(F296&lt;100,
      0.13*POWER(F296,0.669),
      0.0145*F296+1.39-0.00000283*POWER(F296,2)
   ),
   IF($C$3="Fluxometros",
      IF(F296&lt;150,
         0.68*POWER(F296,0.4),
         0.0122*F296+3.37-0.00000215*POWER(F296,2)
      )
   )
),
0))/1000</f>
        <v>1.1496364424689624E-3</v>
      </c>
      <c r="G297" s="56" t="s">
        <v>37</v>
      </c>
      <c r="H297" s="78">
        <f>(IFERROR(
IF($C$3="Tanques",
   IF(H296&lt;100,
      0.13*POWER(H296,0.669),
      0.0145*H296+1.39-0.00000283*POWER(H296,2)
   ),
   IF($C$3="Fluxometros",
      IF(H296&lt;150,
         0.68*POWER(H296,0.4),
         0.0122*H296+3.37-0.00000215*POWER(H296,2)
      )
   )
),
0))/1000</f>
        <v>1.0820873251875453E-3</v>
      </c>
      <c r="I297" s="56" t="s">
        <v>37</v>
      </c>
      <c r="J297" s="78">
        <f>(IFERROR(
IF($C$3="Tanques",
   IF(J296&lt;100,
      0.13*POWER(J296,0.669),
      0.0145*J296+1.39-0.00000283*POWER(J296,2)
   ),
   IF($C$3="Fluxometros",
      IF(J296&lt;150,
         0.68*POWER(J296,0.4),
         0.0122*J296+3.37-0.00000215*POWER(J296,2)
      )
   )
),
0))/1000</f>
        <v>4.6638822410227616E-4</v>
      </c>
      <c r="K297" s="56" t="s">
        <v>37</v>
      </c>
    </row>
    <row r="298" spans="2:11" ht="15.5" x14ac:dyDescent="0.35">
      <c r="C298" s="1"/>
      <c r="F298" s="95">
        <f>(IFERROR(
IF($C$3="Tanques",
   IF(F296&lt;100,
      0.13*POWER(F296,0.669),
      0.0145*F296+1.39-0.00000283*POWER(F296,2)
   ),
   IF($C$3="Fluxometros",
      IF(F296&lt;150,
         0.68*POWER(F296,0.4),
         0.0122*F296+3.37-0.00000215*POWER(F296,2)
      )
   )
),
0))</f>
        <v>1.1496364424689625</v>
      </c>
      <c r="G298" s="55" t="s">
        <v>36</v>
      </c>
      <c r="H298" s="95">
        <f>(IFERROR(
IF($C$3="Tanques",
   IF(H296&lt;100,
      0.13*POWER(H296,0.669),
      0.0145*H296+1.39-0.00000283*POWER(H296,2)
   ),
   IF($C$3="Fluxometros",
      IF(H296&lt;150,
         0.68*POWER(H296,0.4),
         0.0122*H296+3.37-0.00000215*POWER(H296,2)
      )
   )
),
0))</f>
        <v>1.0820873251875454</v>
      </c>
      <c r="I298" s="55" t="s">
        <v>36</v>
      </c>
      <c r="J298" s="95">
        <f>(IFERROR(
IF($C$3="Tanques",
   IF(J296&lt;100,
      0.13*POWER(J296,0.669),
      0.0145*J296+1.39-0.00000283*POWER(J296,2)
   ),
   IF($C$3="Fluxometros",
      IF(J296&lt;150,
         0.68*POWER(J296,0.4),
         0.0122*J296+3.37-0.00000215*POWER(J296,2)
      )
   )
),
0))</f>
        <v>0.46638822410227615</v>
      </c>
      <c r="K298" s="55" t="s">
        <v>36</v>
      </c>
    </row>
    <row r="302" spans="2:11" x14ac:dyDescent="0.35">
      <c r="B302" s="111" t="s">
        <v>28</v>
      </c>
    </row>
    <row r="304" spans="2:11" ht="15.5" x14ac:dyDescent="0.35">
      <c r="B304" s="96" t="s">
        <v>38</v>
      </c>
      <c r="C304" s="96"/>
      <c r="D304" s="96"/>
      <c r="E304" s="96"/>
      <c r="F304" s="96"/>
      <c r="G304" s="96"/>
      <c r="H304" s="96"/>
      <c r="I304" s="96"/>
      <c r="J304" s="96"/>
    </row>
    <row r="305" spans="2:11" x14ac:dyDescent="0.35">
      <c r="B305" s="1" t="s">
        <v>74</v>
      </c>
      <c r="C305" s="66" t="s">
        <v>79</v>
      </c>
      <c r="D305" s="50"/>
      <c r="E305" s="50"/>
      <c r="F305" s="50"/>
      <c r="G305" s="50"/>
      <c r="H305" s="50"/>
      <c r="I305" s="50"/>
      <c r="J305" s="50"/>
    </row>
    <row r="306" spans="2:11" x14ac:dyDescent="0.35">
      <c r="B306" s="1" t="s">
        <v>72</v>
      </c>
      <c r="C306" s="66" t="s">
        <v>73</v>
      </c>
      <c r="D306" s="50"/>
      <c r="E306" s="50"/>
      <c r="F306" s="50"/>
      <c r="G306" s="50"/>
      <c r="H306" s="50"/>
      <c r="I306" s="50"/>
      <c r="J306" s="50"/>
    </row>
    <row r="307" spans="2:11" ht="16" thickBot="1" x14ac:dyDescent="0.4">
      <c r="B307" s="48"/>
      <c r="C307" s="49"/>
      <c r="D307" s="50"/>
      <c r="E307" s="50"/>
      <c r="F307" s="50"/>
      <c r="G307" s="50"/>
      <c r="H307" s="50"/>
      <c r="I307" s="50"/>
      <c r="J307" s="50"/>
    </row>
    <row r="308" spans="2:11" ht="31.5" thickBot="1" x14ac:dyDescent="0.4">
      <c r="B308" s="51" t="s">
        <v>0</v>
      </c>
      <c r="C308" s="51" t="s">
        <v>71</v>
      </c>
      <c r="D308" s="65" t="s">
        <v>69</v>
      </c>
      <c r="E308" s="65" t="s">
        <v>75</v>
      </c>
      <c r="F308" s="61" t="s">
        <v>70</v>
      </c>
      <c r="G308" s="79" t="s">
        <v>69</v>
      </c>
      <c r="H308" s="80" t="s">
        <v>77</v>
      </c>
      <c r="I308" s="87" t="s">
        <v>69</v>
      </c>
      <c r="J308" s="88" t="s">
        <v>78</v>
      </c>
    </row>
    <row r="309" spans="2:11" x14ac:dyDescent="0.35">
      <c r="B309" s="67" t="s">
        <v>55</v>
      </c>
      <c r="C309" s="70">
        <v>1</v>
      </c>
      <c r="D309" s="44">
        <f>IF(IF($C$4="Privado",1,0)=1,VLOOKUP(B309,'Piezas Sanitarias'!$B$4:$F$20,4,FALSE),VLOOKUP(B309,'Piezas Sanitarias'!$B$4:$F$20,5,FALSE))</f>
        <v>3</v>
      </c>
      <c r="E309" s="74" t="s">
        <v>80</v>
      </c>
      <c r="F309" s="62">
        <f>C309*D309</f>
        <v>3</v>
      </c>
      <c r="G309" s="81">
        <f>IF(E309="Fría",D309,D309*3/4)</f>
        <v>3</v>
      </c>
      <c r="H309" s="82">
        <f>C309*G309</f>
        <v>3</v>
      </c>
      <c r="I309" s="89">
        <f>IF(E309="Fría",0,D309*3/4)</f>
        <v>0</v>
      </c>
      <c r="J309" s="90">
        <f>C309*I309</f>
        <v>0</v>
      </c>
    </row>
    <row r="310" spans="2:11" x14ac:dyDescent="0.35">
      <c r="B310" s="68" t="s">
        <v>60</v>
      </c>
      <c r="C310" s="71">
        <v>1</v>
      </c>
      <c r="D310" s="45">
        <f>IF(IF($C$4="Privado",1,0)=1,VLOOKUP(B310,'Piezas Sanitarias'!$B$4:$F$20,4,FALSE),VLOOKUP(B310,'Piezas Sanitarias'!$B$4:$F$20,5,FALSE))</f>
        <v>1</v>
      </c>
      <c r="E310" s="75" t="s">
        <v>76</v>
      </c>
      <c r="F310" s="63">
        <f>C310*D310</f>
        <v>1</v>
      </c>
      <c r="G310" s="83">
        <f t="shared" ref="G310:G318" si="65">IF(E310="Fría",D310,D310*3/4)</f>
        <v>0.75</v>
      </c>
      <c r="H310" s="84">
        <f>C310*G310</f>
        <v>0.75</v>
      </c>
      <c r="I310" s="91">
        <f t="shared" ref="I310:I318" si="66">IF(E310="Fría",0,D310*3/4)</f>
        <v>0.75</v>
      </c>
      <c r="J310" s="92">
        <f>C310*I310</f>
        <v>0.75</v>
      </c>
    </row>
    <row r="311" spans="2:11" x14ac:dyDescent="0.35">
      <c r="B311" s="68" t="s">
        <v>51</v>
      </c>
      <c r="C311" s="71">
        <v>0</v>
      </c>
      <c r="D311" s="45">
        <f>IF(IF($C$4="Privado",1,0)=1,VLOOKUP(B311,'Piezas Sanitarias'!$B$4:$F$20,4,FALSE),VLOOKUP(B311,'Piezas Sanitarias'!$B$4:$F$20,5,FALSE))</f>
        <v>2</v>
      </c>
      <c r="E311" s="75" t="s">
        <v>76</v>
      </c>
      <c r="F311" s="63">
        <f t="shared" ref="F311:F318" si="67">C311*D311</f>
        <v>0</v>
      </c>
      <c r="G311" s="83">
        <f t="shared" si="65"/>
        <v>1.5</v>
      </c>
      <c r="H311" s="84">
        <f t="shared" ref="H311:H317" si="68">C311*G311</f>
        <v>0</v>
      </c>
      <c r="I311" s="91">
        <f t="shared" si="66"/>
        <v>1.5</v>
      </c>
      <c r="J311" s="92">
        <f>C311*I311</f>
        <v>0</v>
      </c>
    </row>
    <row r="312" spans="2:11" x14ac:dyDescent="0.35">
      <c r="B312" s="68" t="s">
        <v>68</v>
      </c>
      <c r="C312" s="71">
        <v>0</v>
      </c>
      <c r="D312" s="45">
        <f>IF(IF($C$4="Privado",1,0)=1,VLOOKUP(B312,'Piezas Sanitarias'!$B$4:$F$20,4,FALSE),VLOOKUP(B312,'Piezas Sanitarias'!$B$4:$F$20,5,FALSE))</f>
        <v>2</v>
      </c>
      <c r="E312" s="75" t="s">
        <v>80</v>
      </c>
      <c r="F312" s="63">
        <f t="shared" si="67"/>
        <v>0</v>
      </c>
      <c r="G312" s="83">
        <f t="shared" si="65"/>
        <v>2</v>
      </c>
      <c r="H312" s="84">
        <f t="shared" si="68"/>
        <v>0</v>
      </c>
      <c r="I312" s="91">
        <f t="shared" si="66"/>
        <v>0</v>
      </c>
      <c r="J312" s="92">
        <f t="shared" ref="J312:J315" si="69">C312*I312</f>
        <v>0</v>
      </c>
    </row>
    <row r="313" spans="2:11" x14ac:dyDescent="0.35">
      <c r="B313" s="68" t="s">
        <v>52</v>
      </c>
      <c r="C313" s="71">
        <v>0</v>
      </c>
      <c r="D313" s="45">
        <f>IF(IF($C$4="Privado",1,0)=1,VLOOKUP(B313,'Piezas Sanitarias'!$B$4:$F$20,4,FALSE),VLOOKUP(B313,'Piezas Sanitarias'!$B$4:$F$20,5,FALSE))</f>
        <v>2</v>
      </c>
      <c r="E313" s="75" t="s">
        <v>76</v>
      </c>
      <c r="F313" s="63">
        <f t="shared" si="67"/>
        <v>0</v>
      </c>
      <c r="G313" s="83">
        <f t="shared" si="65"/>
        <v>1.5</v>
      </c>
      <c r="H313" s="84">
        <f t="shared" si="68"/>
        <v>0</v>
      </c>
      <c r="I313" s="91">
        <f t="shared" si="66"/>
        <v>1.5</v>
      </c>
      <c r="J313" s="92">
        <f t="shared" si="69"/>
        <v>0</v>
      </c>
    </row>
    <row r="314" spans="2:11" x14ac:dyDescent="0.35">
      <c r="B314" s="68" t="s">
        <v>81</v>
      </c>
      <c r="C314" s="71"/>
      <c r="D314" s="45">
        <f>IF(IF($C$4="Privado",1,0)=1,VLOOKUP(B314,'Piezas Sanitarias'!$B$4:$F$20,4,FALSE),VLOOKUP(B314,'Piezas Sanitarias'!$B$4:$F$20,5,FALSE))</f>
        <v>0</v>
      </c>
      <c r="E314" s="75" t="s">
        <v>76</v>
      </c>
      <c r="F314" s="63">
        <f t="shared" si="67"/>
        <v>0</v>
      </c>
      <c r="G314" s="83">
        <f t="shared" si="65"/>
        <v>0</v>
      </c>
      <c r="H314" s="84">
        <f t="shared" si="68"/>
        <v>0</v>
      </c>
      <c r="I314" s="91">
        <f t="shared" si="66"/>
        <v>0</v>
      </c>
      <c r="J314" s="92">
        <f t="shared" si="69"/>
        <v>0</v>
      </c>
    </row>
    <row r="315" spans="2:11" x14ac:dyDescent="0.35">
      <c r="B315" s="68" t="s">
        <v>81</v>
      </c>
      <c r="C315" s="71"/>
      <c r="D315" s="45">
        <f>IF(IF($C$4="Privado",1,0)=1,VLOOKUP(B315,'Piezas Sanitarias'!$B$4:$F$20,4,FALSE),VLOOKUP(B315,'Piezas Sanitarias'!$B$4:$F$20,5,FALSE))</f>
        <v>0</v>
      </c>
      <c r="E315" s="75" t="s">
        <v>76</v>
      </c>
      <c r="F315" s="63">
        <f t="shared" si="67"/>
        <v>0</v>
      </c>
      <c r="G315" s="83">
        <f t="shared" si="65"/>
        <v>0</v>
      </c>
      <c r="H315" s="84">
        <f t="shared" si="68"/>
        <v>0</v>
      </c>
      <c r="I315" s="91">
        <f t="shared" si="66"/>
        <v>0</v>
      </c>
      <c r="J315" s="92">
        <f t="shared" si="69"/>
        <v>0</v>
      </c>
    </row>
    <row r="316" spans="2:11" x14ac:dyDescent="0.35">
      <c r="B316" s="68" t="s">
        <v>81</v>
      </c>
      <c r="C316" s="72"/>
      <c r="D316" s="45">
        <f>IF(IF($C$4="Privado",1,0)=1,VLOOKUP(B316,'Piezas Sanitarias'!$B$4:$F$20,4,FALSE),VLOOKUP(B316,'Piezas Sanitarias'!$B$4:$F$20,5,FALSE))</f>
        <v>0</v>
      </c>
      <c r="E316" s="75" t="s">
        <v>80</v>
      </c>
      <c r="F316" s="63">
        <f t="shared" si="67"/>
        <v>0</v>
      </c>
      <c r="G316" s="83">
        <f t="shared" si="65"/>
        <v>0</v>
      </c>
      <c r="H316" s="84">
        <f t="shared" si="68"/>
        <v>0</v>
      </c>
      <c r="I316" s="91">
        <f t="shared" si="66"/>
        <v>0</v>
      </c>
      <c r="J316" s="92">
        <f>C316*I316</f>
        <v>0</v>
      </c>
    </row>
    <row r="317" spans="2:11" x14ac:dyDescent="0.35">
      <c r="B317" s="68" t="s">
        <v>81</v>
      </c>
      <c r="C317" s="72"/>
      <c r="D317" s="45">
        <f>IF(IF($C$4="Privado",1,0)=1,VLOOKUP(B317,'Piezas Sanitarias'!$B$4:$F$20,4,FALSE),VLOOKUP(B317,'Piezas Sanitarias'!$B$4:$F$20,5,FALSE))</f>
        <v>0</v>
      </c>
      <c r="E317" s="75" t="s">
        <v>80</v>
      </c>
      <c r="F317" s="63">
        <f t="shared" si="67"/>
        <v>0</v>
      </c>
      <c r="G317" s="83">
        <f t="shared" si="65"/>
        <v>0</v>
      </c>
      <c r="H317" s="84">
        <f t="shared" si="68"/>
        <v>0</v>
      </c>
      <c r="I317" s="91">
        <f t="shared" si="66"/>
        <v>0</v>
      </c>
      <c r="J317" s="92">
        <f>C317*I317</f>
        <v>0</v>
      </c>
    </row>
    <row r="318" spans="2:11" ht="15" thickBot="1" x14ac:dyDescent="0.4">
      <c r="B318" s="69" t="s">
        <v>81</v>
      </c>
      <c r="C318" s="73"/>
      <c r="D318" s="46">
        <f>IF(IF($C$4="Privado",1,0)=1,VLOOKUP(B318,'Piezas Sanitarias'!$B$4:$F$20,4,FALSE),VLOOKUP(B318,'Piezas Sanitarias'!$B$4:$F$20,5,FALSE))</f>
        <v>0</v>
      </c>
      <c r="E318" s="76" t="s">
        <v>80</v>
      </c>
      <c r="F318" s="64">
        <f t="shared" si="67"/>
        <v>0</v>
      </c>
      <c r="G318" s="85">
        <f t="shared" si="65"/>
        <v>0</v>
      </c>
      <c r="H318" s="86">
        <f>C318*G318</f>
        <v>0</v>
      </c>
      <c r="I318" s="93">
        <f t="shared" si="66"/>
        <v>0</v>
      </c>
      <c r="J318" s="94">
        <f>C318*I318</f>
        <v>0</v>
      </c>
    </row>
    <row r="319" spans="2:11" ht="15.5" x14ac:dyDescent="0.35">
      <c r="B319" s="1"/>
      <c r="C319" s="52"/>
      <c r="D319" s="53" t="s">
        <v>1</v>
      </c>
      <c r="E319" s="53"/>
      <c r="F319" s="77">
        <f>SUM(F309:F318)</f>
        <v>4</v>
      </c>
      <c r="G319" s="54"/>
      <c r="H319" s="77">
        <f>SUM(H309:H318)</f>
        <v>3.75</v>
      </c>
      <c r="I319" s="54"/>
      <c r="J319" s="77">
        <f>SUM(J309:J318)</f>
        <v>0.75</v>
      </c>
      <c r="K319" s="54"/>
    </row>
    <row r="320" spans="2:11" ht="16.5" x14ac:dyDescent="0.35">
      <c r="B320" s="1"/>
      <c r="C320" s="1"/>
      <c r="D320" s="1" t="s">
        <v>2</v>
      </c>
      <c r="E320" s="1"/>
      <c r="F320" s="78">
        <f>(IFERROR(
IF($C$3="Tanques",
   IF(F319&lt;100,
      0.13*POWER(F319,0.669),
      0.0145*F319+1.39-0.00000283*POWER(F319,2)
   ),
   IF($C$3="Fluxometros",
      IF(F319&lt;150,
         0.68*POWER(F319,0.4),
         0.0122*F319+3.37-0.00000215*POWER(F319,2)
      )
   )
),
0))/1000</f>
        <v>3.286408055977298E-4</v>
      </c>
      <c r="G320" s="56" t="s">
        <v>37</v>
      </c>
      <c r="H320" s="78">
        <f>(IFERROR(
IF($C$3="Tanques",
   IF(H319&lt;100,
      0.13*POWER(H319,0.669),
      0.0145*H319+1.39-0.00000283*POWER(H319,2)
   ),
   IF($C$3="Fluxometros",
      IF(H319&lt;150,
         0.68*POWER(H319,0.4),
         0.0122*H319+3.37-0.00000215*POWER(H319,2)
      )
   )
),
0))/1000</f>
        <v>3.1475328426949371E-4</v>
      </c>
      <c r="I320" s="56" t="s">
        <v>37</v>
      </c>
      <c r="J320" s="78">
        <f>(IFERROR(
IF($C$3="Tanques",
   IF(J319&lt;100,
      0.13*POWER(J319,0.669),
      0.0145*J319+1.39-0.00000283*POWER(J319,2)
   ),
   IF($C$3="Fluxometros",
      IF(J319&lt;150,
         0.68*POWER(J319,0.4),
         0.0122*J319+3.37-0.00000215*POWER(J319,2)
      )
   )
),
0))/1000</f>
        <v>1.0724062527725242E-4</v>
      </c>
      <c r="K320" s="56" t="s">
        <v>37</v>
      </c>
    </row>
    <row r="321" spans="2:11" ht="15.5" x14ac:dyDescent="0.35">
      <c r="C321" s="1"/>
      <c r="F321" s="95">
        <f>(IFERROR(
IF($C$3="Tanques",
   IF(F319&lt;100,
      0.13*POWER(F319,0.669),
      0.0145*F319+1.39-0.00000283*POWER(F319,2)
   ),
   IF($C$3="Fluxometros",
      IF(F319&lt;150,
         0.68*POWER(F319,0.4),
         0.0122*F319+3.37-0.00000215*POWER(F319,2)
      )
   )
),
0))</f>
        <v>0.32864080559772979</v>
      </c>
      <c r="G321" s="55" t="s">
        <v>36</v>
      </c>
      <c r="H321" s="95">
        <f>(IFERROR(
IF($C$3="Tanques",
   IF(H319&lt;100,
      0.13*POWER(H319,0.669),
      0.0145*H319+1.39-0.00000283*POWER(H319,2)
   ),
   IF($C$3="Fluxometros",
      IF(H319&lt;150,
         0.68*POWER(H319,0.4),
         0.0122*H319+3.37-0.00000215*POWER(H319,2)
      )
   )
),
0))</f>
        <v>0.31475328426949373</v>
      </c>
      <c r="I321" s="55" t="s">
        <v>36</v>
      </c>
      <c r="J321" s="95">
        <f>(IFERROR(
IF($C$3="Tanques",
   IF(J319&lt;100,
      0.13*POWER(J319,0.669),
      0.0145*J319+1.39-0.00000283*POWER(J319,2)
   ),
   IF($C$3="Fluxometros",
      IF(J319&lt;150,
         0.68*POWER(J319,0.4),
         0.0122*J319+3.37-0.00000215*POWER(J319,2)
      )
   )
),
0))</f>
        <v>0.10724062527725242</v>
      </c>
      <c r="K321" s="55" t="s">
        <v>36</v>
      </c>
    </row>
    <row r="327" spans="2:11" x14ac:dyDescent="0.35">
      <c r="B327" s="111" t="s">
        <v>30</v>
      </c>
    </row>
    <row r="329" spans="2:11" ht="15.5" x14ac:dyDescent="0.35">
      <c r="B329" s="96" t="s">
        <v>38</v>
      </c>
      <c r="C329" s="96"/>
      <c r="D329" s="96"/>
      <c r="E329" s="96"/>
      <c r="F329" s="96"/>
      <c r="G329" s="96"/>
      <c r="H329" s="96"/>
      <c r="I329" s="96"/>
      <c r="J329" s="96"/>
    </row>
    <row r="330" spans="2:11" x14ac:dyDescent="0.35">
      <c r="B330" s="1" t="s">
        <v>74</v>
      </c>
      <c r="C330" s="66" t="s">
        <v>79</v>
      </c>
      <c r="D330" s="50"/>
      <c r="E330" s="50"/>
      <c r="F330" s="50"/>
      <c r="G330" s="50"/>
      <c r="H330" s="50"/>
      <c r="I330" s="50"/>
      <c r="J330" s="50"/>
    </row>
    <row r="331" spans="2:11" x14ac:dyDescent="0.35">
      <c r="B331" s="1" t="s">
        <v>72</v>
      </c>
      <c r="C331" s="66" t="s">
        <v>73</v>
      </c>
      <c r="D331" s="50"/>
      <c r="E331" s="50"/>
      <c r="F331" s="50"/>
      <c r="G331" s="50"/>
      <c r="H331" s="50"/>
      <c r="I331" s="50"/>
      <c r="J331" s="50"/>
    </row>
    <row r="332" spans="2:11" ht="16" thickBot="1" x14ac:dyDescent="0.4">
      <c r="B332" s="48"/>
      <c r="C332" s="49"/>
      <c r="D332" s="50"/>
      <c r="E332" s="50"/>
      <c r="F332" s="50"/>
      <c r="G332" s="50"/>
      <c r="H332" s="50"/>
      <c r="I332" s="50"/>
      <c r="J332" s="50"/>
    </row>
    <row r="333" spans="2:11" ht="31.5" thickBot="1" x14ac:dyDescent="0.4">
      <c r="B333" s="51" t="s">
        <v>0</v>
      </c>
      <c r="C333" s="51" t="s">
        <v>71</v>
      </c>
      <c r="D333" s="65" t="s">
        <v>69</v>
      </c>
      <c r="E333" s="65" t="s">
        <v>75</v>
      </c>
      <c r="F333" s="61" t="s">
        <v>70</v>
      </c>
      <c r="G333" s="79" t="s">
        <v>69</v>
      </c>
      <c r="H333" s="80" t="s">
        <v>77</v>
      </c>
      <c r="I333" s="87" t="s">
        <v>69</v>
      </c>
      <c r="J333" s="88" t="s">
        <v>78</v>
      </c>
    </row>
    <row r="334" spans="2:11" x14ac:dyDescent="0.35">
      <c r="B334" s="67" t="s">
        <v>55</v>
      </c>
      <c r="C334" s="70">
        <v>1</v>
      </c>
      <c r="D334" s="44">
        <f>IF(IF($C$4="Privado",1,0)=1,VLOOKUP(B334,'Piezas Sanitarias'!$B$4:$F$20,4,FALSE),VLOOKUP(B334,'Piezas Sanitarias'!$B$4:$F$20,5,FALSE))</f>
        <v>3</v>
      </c>
      <c r="E334" s="74" t="s">
        <v>80</v>
      </c>
      <c r="F334" s="62">
        <f>C334*D334</f>
        <v>3</v>
      </c>
      <c r="G334" s="81">
        <f>IF(E334="Fría",D334,D334*3/4)</f>
        <v>3</v>
      </c>
      <c r="H334" s="82">
        <f>C334*G334</f>
        <v>3</v>
      </c>
      <c r="I334" s="89">
        <f>IF(E334="Fría",0,D334*3/4)</f>
        <v>0</v>
      </c>
      <c r="J334" s="90">
        <f>C334*I334</f>
        <v>0</v>
      </c>
    </row>
    <row r="335" spans="2:11" x14ac:dyDescent="0.35">
      <c r="B335" s="68" t="s">
        <v>60</v>
      </c>
      <c r="C335" s="71">
        <v>1</v>
      </c>
      <c r="D335" s="45">
        <f>IF(IF($C$4="Privado",1,0)=1,VLOOKUP(B335,'Piezas Sanitarias'!$B$4:$F$20,4,FALSE),VLOOKUP(B335,'Piezas Sanitarias'!$B$4:$F$20,5,FALSE))</f>
        <v>1</v>
      </c>
      <c r="E335" s="75" t="s">
        <v>76</v>
      </c>
      <c r="F335" s="63">
        <f>C335*D335</f>
        <v>1</v>
      </c>
      <c r="G335" s="83">
        <f t="shared" ref="G335:G343" si="70">IF(E335="Fría",D335,D335*3/4)</f>
        <v>0.75</v>
      </c>
      <c r="H335" s="84">
        <f>C335*G335</f>
        <v>0.75</v>
      </c>
      <c r="I335" s="91">
        <f t="shared" ref="I335:I343" si="71">IF(E335="Fría",0,D335*3/4)</f>
        <v>0.75</v>
      </c>
      <c r="J335" s="92">
        <f>C335*I335</f>
        <v>0.75</v>
      </c>
    </row>
    <row r="336" spans="2:11" x14ac:dyDescent="0.35">
      <c r="B336" s="68" t="s">
        <v>51</v>
      </c>
      <c r="C336" s="71">
        <v>1</v>
      </c>
      <c r="D336" s="45">
        <f>IF(IF($C$4="Privado",1,0)=1,VLOOKUP(B336,'Piezas Sanitarias'!$B$4:$F$20,4,FALSE),VLOOKUP(B336,'Piezas Sanitarias'!$B$4:$F$20,5,FALSE))</f>
        <v>2</v>
      </c>
      <c r="E336" s="75" t="s">
        <v>76</v>
      </c>
      <c r="F336" s="63">
        <f t="shared" ref="F336:F343" si="72">C336*D336</f>
        <v>2</v>
      </c>
      <c r="G336" s="83">
        <f t="shared" si="70"/>
        <v>1.5</v>
      </c>
      <c r="H336" s="84">
        <f t="shared" ref="H336:H342" si="73">C336*G336</f>
        <v>1.5</v>
      </c>
      <c r="I336" s="91">
        <f t="shared" si="71"/>
        <v>1.5</v>
      </c>
      <c r="J336" s="92">
        <f>C336*I336</f>
        <v>1.5</v>
      </c>
    </row>
    <row r="337" spans="2:11" x14ac:dyDescent="0.35">
      <c r="B337" s="68" t="s">
        <v>68</v>
      </c>
      <c r="C337" s="71">
        <v>1</v>
      </c>
      <c r="D337" s="45">
        <f>IF(IF($C$4="Privado",1,0)=1,VLOOKUP(B337,'Piezas Sanitarias'!$B$4:$F$20,4,FALSE),VLOOKUP(B337,'Piezas Sanitarias'!$B$4:$F$20,5,FALSE))</f>
        <v>2</v>
      </c>
      <c r="E337" s="75" t="s">
        <v>80</v>
      </c>
      <c r="F337" s="63">
        <f t="shared" si="72"/>
        <v>2</v>
      </c>
      <c r="G337" s="83">
        <f t="shared" si="70"/>
        <v>2</v>
      </c>
      <c r="H337" s="84">
        <f t="shared" si="73"/>
        <v>2</v>
      </c>
      <c r="I337" s="91">
        <f t="shared" si="71"/>
        <v>0</v>
      </c>
      <c r="J337" s="92">
        <f t="shared" ref="J337:J340" si="74">C337*I337</f>
        <v>0</v>
      </c>
    </row>
    <row r="338" spans="2:11" x14ac:dyDescent="0.35">
      <c r="B338" s="68" t="s">
        <v>52</v>
      </c>
      <c r="C338" s="71">
        <v>0</v>
      </c>
      <c r="D338" s="45">
        <f>IF(IF($C$4="Privado",1,0)=1,VLOOKUP(B338,'Piezas Sanitarias'!$B$4:$F$20,4,FALSE),VLOOKUP(B338,'Piezas Sanitarias'!$B$4:$F$20,5,FALSE))</f>
        <v>2</v>
      </c>
      <c r="E338" s="75" t="s">
        <v>76</v>
      </c>
      <c r="F338" s="63">
        <f t="shared" si="72"/>
        <v>0</v>
      </c>
      <c r="G338" s="83">
        <f t="shared" si="70"/>
        <v>1.5</v>
      </c>
      <c r="H338" s="84">
        <f t="shared" si="73"/>
        <v>0</v>
      </c>
      <c r="I338" s="91">
        <f t="shared" si="71"/>
        <v>1.5</v>
      </c>
      <c r="J338" s="92">
        <f t="shared" si="74"/>
        <v>0</v>
      </c>
    </row>
    <row r="339" spans="2:11" x14ac:dyDescent="0.35">
      <c r="B339" s="68" t="s">
        <v>81</v>
      </c>
      <c r="C339" s="71"/>
      <c r="D339" s="45">
        <f>IF(IF($C$4="Privado",1,0)=1,VLOOKUP(B339,'Piezas Sanitarias'!$B$4:$F$20,4,FALSE),VLOOKUP(B339,'Piezas Sanitarias'!$B$4:$F$20,5,FALSE))</f>
        <v>0</v>
      </c>
      <c r="E339" s="75" t="s">
        <v>76</v>
      </c>
      <c r="F339" s="63">
        <f t="shared" si="72"/>
        <v>0</v>
      </c>
      <c r="G339" s="83">
        <f t="shared" si="70"/>
        <v>0</v>
      </c>
      <c r="H339" s="84">
        <f t="shared" si="73"/>
        <v>0</v>
      </c>
      <c r="I339" s="91">
        <f t="shared" si="71"/>
        <v>0</v>
      </c>
      <c r="J339" s="92">
        <f t="shared" si="74"/>
        <v>0</v>
      </c>
    </row>
    <row r="340" spans="2:11" x14ac:dyDescent="0.35">
      <c r="B340" s="68" t="s">
        <v>81</v>
      </c>
      <c r="C340" s="71"/>
      <c r="D340" s="45">
        <f>IF(IF($C$4="Privado",1,0)=1,VLOOKUP(B340,'Piezas Sanitarias'!$B$4:$F$20,4,FALSE),VLOOKUP(B340,'Piezas Sanitarias'!$B$4:$F$20,5,FALSE))</f>
        <v>0</v>
      </c>
      <c r="E340" s="75" t="s">
        <v>76</v>
      </c>
      <c r="F340" s="63">
        <f t="shared" si="72"/>
        <v>0</v>
      </c>
      <c r="G340" s="83">
        <f t="shared" si="70"/>
        <v>0</v>
      </c>
      <c r="H340" s="84">
        <f t="shared" si="73"/>
        <v>0</v>
      </c>
      <c r="I340" s="91">
        <f t="shared" si="71"/>
        <v>0</v>
      </c>
      <c r="J340" s="92">
        <f t="shared" si="74"/>
        <v>0</v>
      </c>
    </row>
    <row r="341" spans="2:11" x14ac:dyDescent="0.35">
      <c r="B341" s="68" t="s">
        <v>81</v>
      </c>
      <c r="C341" s="72"/>
      <c r="D341" s="45">
        <f>IF(IF($C$4="Privado",1,0)=1,VLOOKUP(B341,'Piezas Sanitarias'!$B$4:$F$20,4,FALSE),VLOOKUP(B341,'Piezas Sanitarias'!$B$4:$F$20,5,FALSE))</f>
        <v>0</v>
      </c>
      <c r="E341" s="75" t="s">
        <v>80</v>
      </c>
      <c r="F341" s="63">
        <f t="shared" si="72"/>
        <v>0</v>
      </c>
      <c r="G341" s="83">
        <f t="shared" si="70"/>
        <v>0</v>
      </c>
      <c r="H341" s="84">
        <f t="shared" si="73"/>
        <v>0</v>
      </c>
      <c r="I341" s="91">
        <f t="shared" si="71"/>
        <v>0</v>
      </c>
      <c r="J341" s="92">
        <f>C341*I341</f>
        <v>0</v>
      </c>
    </row>
    <row r="342" spans="2:11" x14ac:dyDescent="0.35">
      <c r="B342" s="68" t="s">
        <v>81</v>
      </c>
      <c r="C342" s="72"/>
      <c r="D342" s="45">
        <f>IF(IF($C$4="Privado",1,0)=1,VLOOKUP(B342,'Piezas Sanitarias'!$B$4:$F$20,4,FALSE),VLOOKUP(B342,'Piezas Sanitarias'!$B$4:$F$20,5,FALSE))</f>
        <v>0</v>
      </c>
      <c r="E342" s="75" t="s">
        <v>80</v>
      </c>
      <c r="F342" s="63">
        <f t="shared" si="72"/>
        <v>0</v>
      </c>
      <c r="G342" s="83">
        <f t="shared" si="70"/>
        <v>0</v>
      </c>
      <c r="H342" s="84">
        <f t="shared" si="73"/>
        <v>0</v>
      </c>
      <c r="I342" s="91">
        <f t="shared" si="71"/>
        <v>0</v>
      </c>
      <c r="J342" s="92">
        <f>C342*I342</f>
        <v>0</v>
      </c>
    </row>
    <row r="343" spans="2:11" ht="15" thickBot="1" x14ac:dyDescent="0.4">
      <c r="B343" s="69" t="s">
        <v>81</v>
      </c>
      <c r="C343" s="73"/>
      <c r="D343" s="46">
        <f>IF(IF($C$4="Privado",1,0)=1,VLOOKUP(B343,'Piezas Sanitarias'!$B$4:$F$20,4,FALSE),VLOOKUP(B343,'Piezas Sanitarias'!$B$4:$F$20,5,FALSE))</f>
        <v>0</v>
      </c>
      <c r="E343" s="76" t="s">
        <v>80</v>
      </c>
      <c r="F343" s="64">
        <f t="shared" si="72"/>
        <v>0</v>
      </c>
      <c r="G343" s="85">
        <f t="shared" si="70"/>
        <v>0</v>
      </c>
      <c r="H343" s="86">
        <f>C343*G343</f>
        <v>0</v>
      </c>
      <c r="I343" s="93">
        <f t="shared" si="71"/>
        <v>0</v>
      </c>
      <c r="J343" s="94">
        <f>C343*I343</f>
        <v>0</v>
      </c>
    </row>
    <row r="344" spans="2:11" ht="15.5" x14ac:dyDescent="0.35">
      <c r="B344" s="1"/>
      <c r="C344" s="52"/>
      <c r="D344" s="53" t="s">
        <v>1</v>
      </c>
      <c r="E344" s="53"/>
      <c r="F344" s="77">
        <f>SUM(F334:F343)</f>
        <v>8</v>
      </c>
      <c r="G344" s="54"/>
      <c r="H344" s="77">
        <f>SUM(H334:H343)</f>
        <v>7.25</v>
      </c>
      <c r="I344" s="54"/>
      <c r="J344" s="77">
        <f>SUM(J334:J343)</f>
        <v>2.25</v>
      </c>
      <c r="K344" s="54"/>
    </row>
    <row r="345" spans="2:11" ht="16.5" x14ac:dyDescent="0.35">
      <c r="B345" s="1"/>
      <c r="C345" s="1"/>
      <c r="D345" s="1" t="s">
        <v>2</v>
      </c>
      <c r="E345" s="1"/>
      <c r="F345" s="78">
        <f>(IFERROR(
IF($C$3="Tanques",
   IF(F344&lt;100,
      0.13*POWER(F344,0.669),
      0.0145*F344+1.39-0.00000283*POWER(F344,2)
   ),
   IF($C$3="Fluxometros",
      IF(F344&lt;150,
         0.68*POWER(F344,0.4),
         0.0122*F344+3.37-0.00000215*POWER(F344,2)
      )
   )
),
0))/1000</f>
        <v>5.2252918662036845E-4</v>
      </c>
      <c r="G345" s="56" t="s">
        <v>37</v>
      </c>
      <c r="H345" s="78">
        <f>(IFERROR(
IF($C$3="Tanques",
   IF(H344&lt;100,
      0.13*POWER(H344,0.669),
      0.0145*H344+1.39-0.00000283*POWER(H344,2)
   ),
   IF($C$3="Fluxometros",
      IF(H344&lt;150,
         0.68*POWER(H344,0.4),
         0.0122*H344+3.37-0.00000215*POWER(H344,2)
      )
   )
),
0))/1000</f>
        <v>4.8922594262841405E-4</v>
      </c>
      <c r="I345" s="56" t="s">
        <v>37</v>
      </c>
      <c r="J345" s="78">
        <f>(IFERROR(
IF($C$3="Tanques",
   IF(J344&lt;100,
      0.13*POWER(J344,0.669),
      0.0145*J344+1.39-0.00000283*POWER(J344,2)
   ),
   IF($C$3="Fluxometros",
      IF(J344&lt;150,
         0.68*POWER(J344,0.4),
         0.0122*J344+3.37-0.00000215*POWER(J344,2)
      )
   )
),
0))/1000</f>
        <v>2.2364204607961224E-4</v>
      </c>
      <c r="K345" s="56" t="s">
        <v>37</v>
      </c>
    </row>
    <row r="346" spans="2:11" ht="15.5" x14ac:dyDescent="0.35">
      <c r="C346" s="1"/>
      <c r="F346" s="95">
        <f>(IFERROR(
IF($C$3="Tanques",
   IF(F344&lt;100,
      0.13*POWER(F344,0.669),
      0.0145*F344+1.39-0.00000283*POWER(F344,2)
   ),
   IF($C$3="Fluxometros",
      IF(F344&lt;150,
         0.68*POWER(F344,0.4),
         0.0122*F344+3.37-0.00000215*POWER(F344,2)
      )
   )
),
0))</f>
        <v>0.5225291866203684</v>
      </c>
      <c r="G346" s="55" t="s">
        <v>36</v>
      </c>
      <c r="H346" s="95">
        <f>(IFERROR(
IF($C$3="Tanques",
   IF(H344&lt;100,
      0.13*POWER(H344,0.669),
      0.0145*H344+1.39-0.00000283*POWER(H344,2)
   ),
   IF($C$3="Fluxometros",
      IF(H344&lt;150,
         0.68*POWER(H344,0.4),
         0.0122*H344+3.37-0.00000215*POWER(H344,2)
      )
   )
),
0))</f>
        <v>0.48922594262841407</v>
      </c>
      <c r="I346" s="55" t="s">
        <v>36</v>
      </c>
      <c r="J346" s="95">
        <f>(IFERROR(
IF($C$3="Tanques",
   IF(J344&lt;100,
      0.13*POWER(J344,0.669),
      0.0145*J344+1.39-0.00000283*POWER(J344,2)
   ),
   IF($C$3="Fluxometros",
      IF(J344&lt;150,
         0.68*POWER(J344,0.4),
         0.0122*J344+3.37-0.00000215*POWER(J344,2)
      )
   )
),
0))</f>
        <v>0.22364204607961224</v>
      </c>
      <c r="K346" s="55" t="s">
        <v>36</v>
      </c>
    </row>
    <row r="350" spans="2:11" x14ac:dyDescent="0.35">
      <c r="B350" s="111" t="s">
        <v>83</v>
      </c>
    </row>
    <row r="352" spans="2:11" ht="15.5" x14ac:dyDescent="0.35">
      <c r="B352" s="96" t="s">
        <v>38</v>
      </c>
      <c r="C352" s="96"/>
      <c r="D352" s="96"/>
      <c r="E352" s="96"/>
      <c r="F352" s="96"/>
      <c r="G352" s="96"/>
      <c r="H352" s="96"/>
      <c r="I352" s="96"/>
      <c r="J352" s="96"/>
    </row>
    <row r="353" spans="2:11" x14ac:dyDescent="0.35">
      <c r="B353" s="1" t="s">
        <v>74</v>
      </c>
      <c r="C353" s="66" t="s">
        <v>79</v>
      </c>
      <c r="D353" s="50"/>
      <c r="E353" s="50"/>
      <c r="F353" s="50"/>
      <c r="G353" s="50"/>
      <c r="H353" s="50"/>
      <c r="I353" s="50"/>
      <c r="J353" s="50"/>
    </row>
    <row r="354" spans="2:11" x14ac:dyDescent="0.35">
      <c r="B354" s="1" t="s">
        <v>72</v>
      </c>
      <c r="C354" s="66" t="s">
        <v>73</v>
      </c>
      <c r="D354" s="50"/>
      <c r="E354" s="50"/>
      <c r="F354" s="50"/>
      <c r="G354" s="50"/>
      <c r="H354" s="50"/>
      <c r="I354" s="50"/>
      <c r="J354" s="50"/>
    </row>
    <row r="355" spans="2:11" ht="16" thickBot="1" x14ac:dyDescent="0.4">
      <c r="B355" s="48"/>
      <c r="C355" s="49"/>
      <c r="D355" s="50"/>
      <c r="E355" s="50"/>
      <c r="F355" s="50"/>
      <c r="G355" s="50"/>
      <c r="H355" s="50"/>
      <c r="I355" s="50"/>
      <c r="J355" s="50"/>
    </row>
    <row r="356" spans="2:11" ht="31.5" thickBot="1" x14ac:dyDescent="0.4">
      <c r="B356" s="51" t="s">
        <v>0</v>
      </c>
      <c r="C356" s="51" t="s">
        <v>71</v>
      </c>
      <c r="D356" s="65" t="s">
        <v>69</v>
      </c>
      <c r="E356" s="65" t="s">
        <v>75</v>
      </c>
      <c r="F356" s="61" t="s">
        <v>70</v>
      </c>
      <c r="G356" s="79" t="s">
        <v>69</v>
      </c>
      <c r="H356" s="80" t="s">
        <v>77</v>
      </c>
      <c r="I356" s="87" t="s">
        <v>69</v>
      </c>
      <c r="J356" s="88" t="s">
        <v>78</v>
      </c>
    </row>
    <row r="357" spans="2:11" x14ac:dyDescent="0.35">
      <c r="B357" s="67" t="s">
        <v>55</v>
      </c>
      <c r="C357" s="70">
        <v>4</v>
      </c>
      <c r="D357" s="44">
        <f>IF(IF($C$4="Privado",1,0)=1,VLOOKUP(B357,'Piezas Sanitarias'!$B$4:$F$20,4,FALSE),VLOOKUP(B357,'Piezas Sanitarias'!$B$4:$F$20,5,FALSE))</f>
        <v>3</v>
      </c>
      <c r="E357" s="74" t="s">
        <v>80</v>
      </c>
      <c r="F357" s="62">
        <f>C357*D357</f>
        <v>12</v>
      </c>
      <c r="G357" s="81">
        <f>IF(E357="Fría",D357,D357*3/4)</f>
        <v>3</v>
      </c>
      <c r="H357" s="82">
        <f>C357*G357</f>
        <v>12</v>
      </c>
      <c r="I357" s="89">
        <f>IF(E357="Fría",0,D357*3/4)</f>
        <v>0</v>
      </c>
      <c r="J357" s="90">
        <f>C357*I357</f>
        <v>0</v>
      </c>
    </row>
    <row r="358" spans="2:11" x14ac:dyDescent="0.35">
      <c r="B358" s="68" t="s">
        <v>60</v>
      </c>
      <c r="C358" s="71">
        <v>4</v>
      </c>
      <c r="D358" s="45">
        <f>IF(IF($C$4="Privado",1,0)=1,VLOOKUP(B358,'Piezas Sanitarias'!$B$4:$F$20,4,FALSE),VLOOKUP(B358,'Piezas Sanitarias'!$B$4:$F$20,5,FALSE))</f>
        <v>1</v>
      </c>
      <c r="E358" s="75" t="s">
        <v>76</v>
      </c>
      <c r="F358" s="63">
        <f>C358*D358</f>
        <v>4</v>
      </c>
      <c r="G358" s="83">
        <f t="shared" ref="G358:G366" si="75">IF(E358="Fría",D358,D358*3/4)</f>
        <v>0.75</v>
      </c>
      <c r="H358" s="84">
        <f>C358*G358</f>
        <v>3</v>
      </c>
      <c r="I358" s="91">
        <f t="shared" ref="I358:I366" si="76">IF(E358="Fría",0,D358*3/4)</f>
        <v>0.75</v>
      </c>
      <c r="J358" s="92">
        <f>C358*I358</f>
        <v>3</v>
      </c>
    </row>
    <row r="359" spans="2:11" x14ac:dyDescent="0.35">
      <c r="B359" s="68" t="s">
        <v>51</v>
      </c>
      <c r="C359" s="71">
        <v>2</v>
      </c>
      <c r="D359" s="45">
        <f>IF(IF($C$4="Privado",1,0)=1,VLOOKUP(B359,'Piezas Sanitarias'!$B$4:$F$20,4,FALSE),VLOOKUP(B359,'Piezas Sanitarias'!$B$4:$F$20,5,FALSE))</f>
        <v>2</v>
      </c>
      <c r="E359" s="75" t="s">
        <v>76</v>
      </c>
      <c r="F359" s="63">
        <f t="shared" ref="F359:F366" si="77">C359*D359</f>
        <v>4</v>
      </c>
      <c r="G359" s="83">
        <f t="shared" si="75"/>
        <v>1.5</v>
      </c>
      <c r="H359" s="84">
        <f t="shared" ref="H359:H365" si="78">C359*G359</f>
        <v>3</v>
      </c>
      <c r="I359" s="91">
        <f t="shared" si="76"/>
        <v>1.5</v>
      </c>
      <c r="J359" s="92">
        <f>C359*I359</f>
        <v>3</v>
      </c>
    </row>
    <row r="360" spans="2:11" x14ac:dyDescent="0.35">
      <c r="B360" s="68" t="s">
        <v>68</v>
      </c>
      <c r="C360" s="71">
        <v>1</v>
      </c>
      <c r="D360" s="45">
        <f>IF(IF($C$4="Privado",1,0)=1,VLOOKUP(B360,'Piezas Sanitarias'!$B$4:$F$20,4,FALSE),VLOOKUP(B360,'Piezas Sanitarias'!$B$4:$F$20,5,FALSE))</f>
        <v>2</v>
      </c>
      <c r="E360" s="75" t="s">
        <v>80</v>
      </c>
      <c r="F360" s="63">
        <f t="shared" si="77"/>
        <v>2</v>
      </c>
      <c r="G360" s="83">
        <f t="shared" si="75"/>
        <v>2</v>
      </c>
      <c r="H360" s="84">
        <f t="shared" si="78"/>
        <v>2</v>
      </c>
      <c r="I360" s="91">
        <f t="shared" si="76"/>
        <v>0</v>
      </c>
      <c r="J360" s="92">
        <f t="shared" ref="J360:J363" si="79">C360*I360</f>
        <v>0</v>
      </c>
    </row>
    <row r="361" spans="2:11" x14ac:dyDescent="0.35">
      <c r="B361" s="68" t="s">
        <v>52</v>
      </c>
      <c r="C361" s="71">
        <v>0</v>
      </c>
      <c r="D361" s="45">
        <f>IF(IF($C$4="Privado",1,0)=1,VLOOKUP(B361,'Piezas Sanitarias'!$B$4:$F$20,4,FALSE),VLOOKUP(B361,'Piezas Sanitarias'!$B$4:$F$20,5,FALSE))</f>
        <v>2</v>
      </c>
      <c r="E361" s="75" t="s">
        <v>76</v>
      </c>
      <c r="F361" s="63">
        <f t="shared" si="77"/>
        <v>0</v>
      </c>
      <c r="G361" s="83">
        <f t="shared" si="75"/>
        <v>1.5</v>
      </c>
      <c r="H361" s="84">
        <f t="shared" si="78"/>
        <v>0</v>
      </c>
      <c r="I361" s="91">
        <f t="shared" si="76"/>
        <v>1.5</v>
      </c>
      <c r="J361" s="92">
        <f t="shared" si="79"/>
        <v>0</v>
      </c>
    </row>
    <row r="362" spans="2:11" x14ac:dyDescent="0.35">
      <c r="B362" s="68" t="s">
        <v>81</v>
      </c>
      <c r="C362" s="71"/>
      <c r="D362" s="45">
        <f>IF(IF($C$4="Privado",1,0)=1,VLOOKUP(B362,'Piezas Sanitarias'!$B$4:$F$20,4,FALSE),VLOOKUP(B362,'Piezas Sanitarias'!$B$4:$F$20,5,FALSE))</f>
        <v>0</v>
      </c>
      <c r="E362" s="75" t="s">
        <v>76</v>
      </c>
      <c r="F362" s="63">
        <f t="shared" si="77"/>
        <v>0</v>
      </c>
      <c r="G362" s="83">
        <f t="shared" si="75"/>
        <v>0</v>
      </c>
      <c r="H362" s="84">
        <f t="shared" si="78"/>
        <v>0</v>
      </c>
      <c r="I362" s="91">
        <f t="shared" si="76"/>
        <v>0</v>
      </c>
      <c r="J362" s="92">
        <f t="shared" si="79"/>
        <v>0</v>
      </c>
    </row>
    <row r="363" spans="2:11" x14ac:dyDescent="0.35">
      <c r="B363" s="68" t="s">
        <v>81</v>
      </c>
      <c r="C363" s="71"/>
      <c r="D363" s="45">
        <f>IF(IF($C$4="Privado",1,0)=1,VLOOKUP(B363,'Piezas Sanitarias'!$B$4:$F$20,4,FALSE),VLOOKUP(B363,'Piezas Sanitarias'!$B$4:$F$20,5,FALSE))</f>
        <v>0</v>
      </c>
      <c r="E363" s="75" t="s">
        <v>76</v>
      </c>
      <c r="F363" s="63">
        <f t="shared" si="77"/>
        <v>0</v>
      </c>
      <c r="G363" s="83">
        <f t="shared" si="75"/>
        <v>0</v>
      </c>
      <c r="H363" s="84">
        <f t="shared" si="78"/>
        <v>0</v>
      </c>
      <c r="I363" s="91">
        <f t="shared" si="76"/>
        <v>0</v>
      </c>
      <c r="J363" s="92">
        <f t="shared" si="79"/>
        <v>0</v>
      </c>
    </row>
    <row r="364" spans="2:11" x14ac:dyDescent="0.35">
      <c r="B364" s="68" t="s">
        <v>81</v>
      </c>
      <c r="C364" s="72"/>
      <c r="D364" s="45">
        <f>IF(IF($C$4="Privado",1,0)=1,VLOOKUP(B364,'Piezas Sanitarias'!$B$4:$F$20,4,FALSE),VLOOKUP(B364,'Piezas Sanitarias'!$B$4:$F$20,5,FALSE))</f>
        <v>0</v>
      </c>
      <c r="E364" s="75" t="s">
        <v>80</v>
      </c>
      <c r="F364" s="63">
        <f t="shared" si="77"/>
        <v>0</v>
      </c>
      <c r="G364" s="83">
        <f t="shared" si="75"/>
        <v>0</v>
      </c>
      <c r="H364" s="84">
        <f t="shared" si="78"/>
        <v>0</v>
      </c>
      <c r="I364" s="91">
        <f t="shared" si="76"/>
        <v>0</v>
      </c>
      <c r="J364" s="92">
        <f>C364*I364</f>
        <v>0</v>
      </c>
    </row>
    <row r="365" spans="2:11" x14ac:dyDescent="0.35">
      <c r="B365" s="68" t="s">
        <v>81</v>
      </c>
      <c r="C365" s="72"/>
      <c r="D365" s="45">
        <f>IF(IF($C$4="Privado",1,0)=1,VLOOKUP(B365,'Piezas Sanitarias'!$B$4:$F$20,4,FALSE),VLOOKUP(B365,'Piezas Sanitarias'!$B$4:$F$20,5,FALSE))</f>
        <v>0</v>
      </c>
      <c r="E365" s="75" t="s">
        <v>80</v>
      </c>
      <c r="F365" s="63">
        <f t="shared" si="77"/>
        <v>0</v>
      </c>
      <c r="G365" s="83">
        <f t="shared" si="75"/>
        <v>0</v>
      </c>
      <c r="H365" s="84">
        <f t="shared" si="78"/>
        <v>0</v>
      </c>
      <c r="I365" s="91">
        <f t="shared" si="76"/>
        <v>0</v>
      </c>
      <c r="J365" s="92">
        <f>C365*I365</f>
        <v>0</v>
      </c>
    </row>
    <row r="366" spans="2:11" ht="15" thickBot="1" x14ac:dyDescent="0.4">
      <c r="B366" s="69" t="s">
        <v>81</v>
      </c>
      <c r="C366" s="73"/>
      <c r="D366" s="46">
        <f>IF(IF($C$4="Privado",1,0)=1,VLOOKUP(B366,'Piezas Sanitarias'!$B$4:$F$20,4,FALSE),VLOOKUP(B366,'Piezas Sanitarias'!$B$4:$F$20,5,FALSE))</f>
        <v>0</v>
      </c>
      <c r="E366" s="76" t="s">
        <v>80</v>
      </c>
      <c r="F366" s="64">
        <f t="shared" si="77"/>
        <v>0</v>
      </c>
      <c r="G366" s="85">
        <f t="shared" si="75"/>
        <v>0</v>
      </c>
      <c r="H366" s="86">
        <f>C366*G366</f>
        <v>0</v>
      </c>
      <c r="I366" s="93">
        <f t="shared" si="76"/>
        <v>0</v>
      </c>
      <c r="J366" s="94">
        <f>C366*I366</f>
        <v>0</v>
      </c>
    </row>
    <row r="367" spans="2:11" ht="15.5" x14ac:dyDescent="0.35">
      <c r="B367" s="1"/>
      <c r="C367" s="52"/>
      <c r="D367" s="53" t="s">
        <v>1</v>
      </c>
      <c r="E367" s="53"/>
      <c r="F367" s="77">
        <f>SUM(F357:F366)</f>
        <v>22</v>
      </c>
      <c r="G367" s="54"/>
      <c r="H367" s="77">
        <f>SUM(H357:H366)</f>
        <v>20</v>
      </c>
      <c r="I367" s="54"/>
      <c r="J367" s="77">
        <f>SUM(J357:J366)</f>
        <v>6</v>
      </c>
      <c r="K367" s="54"/>
    </row>
    <row r="368" spans="2:11" ht="16.5" x14ac:dyDescent="0.35">
      <c r="B368" s="1"/>
      <c r="C368" s="1"/>
      <c r="D368" s="1" t="s">
        <v>2</v>
      </c>
      <c r="E368" s="1"/>
      <c r="F368" s="78">
        <f>(IFERROR(
IF($C$3="Tanques",
   IF(F367&lt;100,
      0.13*POWER(F367,0.669),
      0.0145*F367+1.39-0.00000283*POWER(F367,2)
   ),
   IF($C$3="Fluxometros",
      IF(F367&lt;150,
         0.68*POWER(F367,0.4),
         0.0122*F367+3.37-0.00000215*POWER(F367,2)
      )
   )
),
0))/1000</f>
        <v>1.0280734077186618E-3</v>
      </c>
      <c r="G368" s="56" t="s">
        <v>37</v>
      </c>
      <c r="H368" s="78">
        <f>(IFERROR(
IF($C$3="Tanques",
   IF(H367&lt;100,
      0.13*POWER(H367,0.669),
      0.0145*H367+1.39-0.00000283*POWER(H367,2)
   ),
   IF($C$3="Fluxometros",
      IF(H367&lt;150,
         0.68*POWER(H367,0.4),
         0.0122*H367+3.37-0.00000215*POWER(H367,2)
      )
   )
),
0))/1000</f>
        <v>9.645670438738034E-4</v>
      </c>
      <c r="I368" s="56" t="s">
        <v>37</v>
      </c>
      <c r="J368" s="78">
        <f>(IFERROR(
IF($C$3="Tanques",
   IF(J367&lt;100,
      0.13*POWER(J367,0.669),
      0.0145*J367+1.39-0.00000283*POWER(J367,2)
   ),
   IF($C$3="Fluxometros",
      IF(J367&lt;150,
         0.68*POWER(J367,0.4),
         0.0122*J367+3.37-0.00000215*POWER(J367,2)
      )
   )
),
0))/1000</f>
        <v>4.3104889768294183E-4</v>
      </c>
      <c r="K368" s="56" t="s">
        <v>37</v>
      </c>
    </row>
    <row r="369" spans="2:11" ht="15.5" x14ac:dyDescent="0.35">
      <c r="C369" s="1"/>
      <c r="F369" s="95">
        <f>(IFERROR(
IF($C$3="Tanques",
   IF(F367&lt;100,
      0.13*POWER(F367,0.669),
      0.0145*F367+1.39-0.00000283*POWER(F367,2)
   ),
   IF($C$3="Fluxometros",
      IF(F367&lt;150,
         0.68*POWER(F367,0.4),
         0.0122*F367+3.37-0.00000215*POWER(F367,2)
      )
   )
),
0))</f>
        <v>1.0280734077186617</v>
      </c>
      <c r="G369" s="55" t="s">
        <v>36</v>
      </c>
      <c r="H369" s="95">
        <f>(IFERROR(
IF($C$3="Tanques",
   IF(H367&lt;100,
      0.13*POWER(H367,0.669),
      0.0145*H367+1.39-0.00000283*POWER(H367,2)
   ),
   IF($C$3="Fluxometros",
      IF(H367&lt;150,
         0.68*POWER(H367,0.4),
         0.0122*H367+3.37-0.00000215*POWER(H367,2)
      )
   )
),
0))</f>
        <v>0.96456704387380343</v>
      </c>
      <c r="I369" s="55" t="s">
        <v>36</v>
      </c>
      <c r="J369" s="95">
        <f>(IFERROR(
IF($C$3="Tanques",
   IF(J367&lt;100,
      0.13*POWER(J367,0.669),
      0.0145*J367+1.39-0.00000283*POWER(J367,2)
   ),
   IF($C$3="Fluxometros",
      IF(J367&lt;150,
         0.68*POWER(J367,0.4),
         0.0122*J367+3.37-0.00000215*POWER(J367,2)
      )
   )
),
0))</f>
        <v>0.4310488976829418</v>
      </c>
      <c r="K369" s="55" t="s">
        <v>36</v>
      </c>
    </row>
    <row r="374" spans="2:11" x14ac:dyDescent="0.35">
      <c r="B374" s="111" t="s">
        <v>31</v>
      </c>
    </row>
    <row r="376" spans="2:11" ht="15.5" x14ac:dyDescent="0.35">
      <c r="B376" s="96" t="s">
        <v>38</v>
      </c>
      <c r="C376" s="96"/>
      <c r="D376" s="96"/>
      <c r="E376" s="96"/>
      <c r="F376" s="96"/>
      <c r="G376" s="96"/>
      <c r="H376" s="96"/>
      <c r="I376" s="96"/>
      <c r="J376" s="96"/>
    </row>
    <row r="377" spans="2:11" x14ac:dyDescent="0.35">
      <c r="B377" s="1" t="s">
        <v>74</v>
      </c>
      <c r="C377" s="66" t="s">
        <v>79</v>
      </c>
      <c r="D377" s="50"/>
      <c r="E377" s="50"/>
      <c r="F377" s="50"/>
      <c r="G377" s="50"/>
      <c r="H377" s="50"/>
      <c r="I377" s="50"/>
      <c r="J377" s="50"/>
    </row>
    <row r="378" spans="2:11" x14ac:dyDescent="0.35">
      <c r="B378" s="1" t="s">
        <v>72</v>
      </c>
      <c r="C378" s="66" t="s">
        <v>73</v>
      </c>
      <c r="D378" s="50"/>
      <c r="E378" s="50"/>
      <c r="F378" s="50"/>
      <c r="G378" s="50"/>
      <c r="H378" s="50"/>
      <c r="I378" s="50"/>
      <c r="J378" s="50"/>
    </row>
    <row r="379" spans="2:11" ht="16" thickBot="1" x14ac:dyDescent="0.4">
      <c r="B379" s="48"/>
      <c r="C379" s="49"/>
      <c r="D379" s="50"/>
      <c r="E379" s="50"/>
      <c r="F379" s="50"/>
      <c r="G379" s="50"/>
      <c r="H379" s="50"/>
      <c r="I379" s="50"/>
      <c r="J379" s="50"/>
    </row>
    <row r="380" spans="2:11" ht="31.5" thickBot="1" x14ac:dyDescent="0.4">
      <c r="B380" s="51" t="s">
        <v>0</v>
      </c>
      <c r="C380" s="51" t="s">
        <v>71</v>
      </c>
      <c r="D380" s="65" t="s">
        <v>69</v>
      </c>
      <c r="E380" s="65" t="s">
        <v>75</v>
      </c>
      <c r="F380" s="61" t="s">
        <v>70</v>
      </c>
      <c r="G380" s="79" t="s">
        <v>69</v>
      </c>
      <c r="H380" s="80" t="s">
        <v>77</v>
      </c>
      <c r="I380" s="87" t="s">
        <v>69</v>
      </c>
      <c r="J380" s="88" t="s">
        <v>78</v>
      </c>
    </row>
    <row r="381" spans="2:11" x14ac:dyDescent="0.35">
      <c r="B381" s="67" t="s">
        <v>55</v>
      </c>
      <c r="C381" s="70">
        <v>3</v>
      </c>
      <c r="D381" s="44">
        <f>IF(IF($C$4="Privado",1,0)=1,VLOOKUP(B381,'Piezas Sanitarias'!$B$4:$F$20,4,FALSE),VLOOKUP(B381,'Piezas Sanitarias'!$B$4:$F$20,5,FALSE))</f>
        <v>3</v>
      </c>
      <c r="E381" s="74" t="s">
        <v>80</v>
      </c>
      <c r="F381" s="62">
        <f>C381*D381</f>
        <v>9</v>
      </c>
      <c r="G381" s="81">
        <f>IF(E381="Fría",D381,D381*3/4)</f>
        <v>3</v>
      </c>
      <c r="H381" s="82">
        <f>C381*G381</f>
        <v>9</v>
      </c>
      <c r="I381" s="89">
        <f>IF(E381="Fría",0,D381*3/4)</f>
        <v>0</v>
      </c>
      <c r="J381" s="90">
        <f>C381*I381</f>
        <v>0</v>
      </c>
    </row>
    <row r="382" spans="2:11" x14ac:dyDescent="0.35">
      <c r="B382" s="68" t="s">
        <v>60</v>
      </c>
      <c r="C382" s="71">
        <v>3</v>
      </c>
      <c r="D382" s="45">
        <f>IF(IF($C$4="Privado",1,0)=1,VLOOKUP(B382,'Piezas Sanitarias'!$B$4:$F$20,4,FALSE),VLOOKUP(B382,'Piezas Sanitarias'!$B$4:$F$20,5,FALSE))</f>
        <v>1</v>
      </c>
      <c r="E382" s="75" t="s">
        <v>76</v>
      </c>
      <c r="F382" s="63">
        <f>C382*D382</f>
        <v>3</v>
      </c>
      <c r="G382" s="83">
        <f t="shared" ref="G382:G390" si="80">IF(E382="Fría",D382,D382*3/4)</f>
        <v>0.75</v>
      </c>
      <c r="H382" s="84">
        <f>C382*G382</f>
        <v>2.25</v>
      </c>
      <c r="I382" s="91">
        <f t="shared" ref="I382:I390" si="81">IF(E382="Fría",0,D382*3/4)</f>
        <v>0.75</v>
      </c>
      <c r="J382" s="92">
        <f>C382*I382</f>
        <v>2.25</v>
      </c>
    </row>
    <row r="383" spans="2:11" x14ac:dyDescent="0.35">
      <c r="B383" s="68" t="s">
        <v>51</v>
      </c>
      <c r="C383" s="71">
        <v>1</v>
      </c>
      <c r="D383" s="45">
        <f>IF(IF($C$4="Privado",1,0)=1,VLOOKUP(B383,'Piezas Sanitarias'!$B$4:$F$20,4,FALSE),VLOOKUP(B383,'Piezas Sanitarias'!$B$4:$F$20,5,FALSE))</f>
        <v>2</v>
      </c>
      <c r="E383" s="75" t="s">
        <v>76</v>
      </c>
      <c r="F383" s="63">
        <f t="shared" ref="F383:F390" si="82">C383*D383</f>
        <v>2</v>
      </c>
      <c r="G383" s="83">
        <f t="shared" si="80"/>
        <v>1.5</v>
      </c>
      <c r="H383" s="84">
        <f t="shared" ref="H383:H389" si="83">C383*G383</f>
        <v>1.5</v>
      </c>
      <c r="I383" s="91">
        <f t="shared" si="81"/>
        <v>1.5</v>
      </c>
      <c r="J383" s="92">
        <f>C383*I383</f>
        <v>1.5</v>
      </c>
    </row>
    <row r="384" spans="2:11" x14ac:dyDescent="0.35">
      <c r="B384" s="68" t="s">
        <v>68</v>
      </c>
      <c r="C384" s="71">
        <v>1</v>
      </c>
      <c r="D384" s="45">
        <f>IF(IF($C$4="Privado",1,0)=1,VLOOKUP(B384,'Piezas Sanitarias'!$B$4:$F$20,4,FALSE),VLOOKUP(B384,'Piezas Sanitarias'!$B$4:$F$20,5,FALSE))</f>
        <v>2</v>
      </c>
      <c r="E384" s="75" t="s">
        <v>80</v>
      </c>
      <c r="F384" s="63">
        <f t="shared" si="82"/>
        <v>2</v>
      </c>
      <c r="G384" s="83">
        <f t="shared" si="80"/>
        <v>2</v>
      </c>
      <c r="H384" s="84">
        <f t="shared" si="83"/>
        <v>2</v>
      </c>
      <c r="I384" s="91">
        <f t="shared" si="81"/>
        <v>0</v>
      </c>
      <c r="J384" s="92">
        <f t="shared" ref="J384:J387" si="84">C384*I384</f>
        <v>0</v>
      </c>
    </row>
    <row r="385" spans="2:11" x14ac:dyDescent="0.35">
      <c r="B385" s="68" t="s">
        <v>52</v>
      </c>
      <c r="C385" s="71">
        <v>0</v>
      </c>
      <c r="D385" s="45">
        <f>IF(IF($C$4="Privado",1,0)=1,VLOOKUP(B385,'Piezas Sanitarias'!$B$4:$F$20,4,FALSE),VLOOKUP(B385,'Piezas Sanitarias'!$B$4:$F$20,5,FALSE))</f>
        <v>2</v>
      </c>
      <c r="E385" s="75" t="s">
        <v>76</v>
      </c>
      <c r="F385" s="63">
        <f t="shared" si="82"/>
        <v>0</v>
      </c>
      <c r="G385" s="83">
        <f t="shared" si="80"/>
        <v>1.5</v>
      </c>
      <c r="H385" s="84">
        <f t="shared" si="83"/>
        <v>0</v>
      </c>
      <c r="I385" s="91">
        <f t="shared" si="81"/>
        <v>1.5</v>
      </c>
      <c r="J385" s="92">
        <f t="shared" si="84"/>
        <v>0</v>
      </c>
    </row>
    <row r="386" spans="2:11" x14ac:dyDescent="0.35">
      <c r="B386" s="68" t="s">
        <v>81</v>
      </c>
      <c r="C386" s="71"/>
      <c r="D386" s="45">
        <f>IF(IF($C$4="Privado",1,0)=1,VLOOKUP(B386,'Piezas Sanitarias'!$B$4:$F$20,4,FALSE),VLOOKUP(B386,'Piezas Sanitarias'!$B$4:$F$20,5,FALSE))</f>
        <v>0</v>
      </c>
      <c r="E386" s="75" t="s">
        <v>76</v>
      </c>
      <c r="F386" s="63">
        <f t="shared" si="82"/>
        <v>0</v>
      </c>
      <c r="G386" s="83">
        <f t="shared" si="80"/>
        <v>0</v>
      </c>
      <c r="H386" s="84">
        <f t="shared" si="83"/>
        <v>0</v>
      </c>
      <c r="I386" s="91">
        <f t="shared" si="81"/>
        <v>0</v>
      </c>
      <c r="J386" s="92">
        <f t="shared" si="84"/>
        <v>0</v>
      </c>
    </row>
    <row r="387" spans="2:11" x14ac:dyDescent="0.35">
      <c r="B387" s="68" t="s">
        <v>81</v>
      </c>
      <c r="C387" s="71"/>
      <c r="D387" s="45">
        <f>IF(IF($C$4="Privado",1,0)=1,VLOOKUP(B387,'Piezas Sanitarias'!$B$4:$F$20,4,FALSE),VLOOKUP(B387,'Piezas Sanitarias'!$B$4:$F$20,5,FALSE))</f>
        <v>0</v>
      </c>
      <c r="E387" s="75" t="s">
        <v>76</v>
      </c>
      <c r="F387" s="63">
        <f t="shared" si="82"/>
        <v>0</v>
      </c>
      <c r="G387" s="83">
        <f t="shared" si="80"/>
        <v>0</v>
      </c>
      <c r="H387" s="84">
        <f t="shared" si="83"/>
        <v>0</v>
      </c>
      <c r="I387" s="91">
        <f t="shared" si="81"/>
        <v>0</v>
      </c>
      <c r="J387" s="92">
        <f t="shared" si="84"/>
        <v>0</v>
      </c>
    </row>
    <row r="388" spans="2:11" x14ac:dyDescent="0.35">
      <c r="B388" s="68" t="s">
        <v>81</v>
      </c>
      <c r="C388" s="72"/>
      <c r="D388" s="45">
        <f>IF(IF($C$4="Privado",1,0)=1,VLOOKUP(B388,'Piezas Sanitarias'!$B$4:$F$20,4,FALSE),VLOOKUP(B388,'Piezas Sanitarias'!$B$4:$F$20,5,FALSE))</f>
        <v>0</v>
      </c>
      <c r="E388" s="75" t="s">
        <v>80</v>
      </c>
      <c r="F388" s="63">
        <f t="shared" si="82"/>
        <v>0</v>
      </c>
      <c r="G388" s="83">
        <f t="shared" si="80"/>
        <v>0</v>
      </c>
      <c r="H388" s="84">
        <f t="shared" si="83"/>
        <v>0</v>
      </c>
      <c r="I388" s="91">
        <f t="shared" si="81"/>
        <v>0</v>
      </c>
      <c r="J388" s="92">
        <f>C388*I388</f>
        <v>0</v>
      </c>
    </row>
    <row r="389" spans="2:11" x14ac:dyDescent="0.35">
      <c r="B389" s="68" t="s">
        <v>81</v>
      </c>
      <c r="C389" s="72"/>
      <c r="D389" s="45">
        <f>IF(IF($C$4="Privado",1,0)=1,VLOOKUP(B389,'Piezas Sanitarias'!$B$4:$F$20,4,FALSE),VLOOKUP(B389,'Piezas Sanitarias'!$B$4:$F$20,5,FALSE))</f>
        <v>0</v>
      </c>
      <c r="E389" s="75" t="s">
        <v>80</v>
      </c>
      <c r="F389" s="63">
        <f t="shared" si="82"/>
        <v>0</v>
      </c>
      <c r="G389" s="83">
        <f t="shared" si="80"/>
        <v>0</v>
      </c>
      <c r="H389" s="84">
        <f t="shared" si="83"/>
        <v>0</v>
      </c>
      <c r="I389" s="91">
        <f t="shared" si="81"/>
        <v>0</v>
      </c>
      <c r="J389" s="92">
        <f>C389*I389</f>
        <v>0</v>
      </c>
    </row>
    <row r="390" spans="2:11" ht="15" thickBot="1" x14ac:dyDescent="0.4">
      <c r="B390" s="69" t="s">
        <v>81</v>
      </c>
      <c r="C390" s="73"/>
      <c r="D390" s="46">
        <f>IF(IF($C$4="Privado",1,0)=1,VLOOKUP(B390,'Piezas Sanitarias'!$B$4:$F$20,4,FALSE),VLOOKUP(B390,'Piezas Sanitarias'!$B$4:$F$20,5,FALSE))</f>
        <v>0</v>
      </c>
      <c r="E390" s="76" t="s">
        <v>80</v>
      </c>
      <c r="F390" s="64">
        <f t="shared" si="82"/>
        <v>0</v>
      </c>
      <c r="G390" s="85">
        <f t="shared" si="80"/>
        <v>0</v>
      </c>
      <c r="H390" s="86">
        <f>C390*G390</f>
        <v>0</v>
      </c>
      <c r="I390" s="93">
        <f t="shared" si="81"/>
        <v>0</v>
      </c>
      <c r="J390" s="94">
        <f>C390*I390</f>
        <v>0</v>
      </c>
    </row>
    <row r="391" spans="2:11" ht="15.5" x14ac:dyDescent="0.35">
      <c r="B391" s="1"/>
      <c r="C391" s="52"/>
      <c r="D391" s="53" t="s">
        <v>1</v>
      </c>
      <c r="E391" s="53"/>
      <c r="F391" s="77">
        <f>SUM(F381:F390)</f>
        <v>16</v>
      </c>
      <c r="G391" s="54"/>
      <c r="H391" s="77">
        <f>SUM(H381:H390)</f>
        <v>14.75</v>
      </c>
      <c r="I391" s="54"/>
      <c r="J391" s="77">
        <f>SUM(J381:J390)</f>
        <v>3.75</v>
      </c>
      <c r="K391" s="54"/>
    </row>
    <row r="392" spans="2:11" ht="16.5" x14ac:dyDescent="0.35">
      <c r="B392" s="1"/>
      <c r="C392" s="1"/>
      <c r="D392" s="1" t="s">
        <v>2</v>
      </c>
      <c r="E392" s="1"/>
      <c r="F392" s="78">
        <f>(IFERROR(
IF($C$3="Tanques",
   IF(F391&lt;100,
      0.13*POWER(F391,0.669),
      0.0145*F391+1.39-0.00000283*POWER(F391,2)
   ),
   IF($C$3="Fluxometros",
      IF(F391&lt;150,
         0.68*POWER(F391,0.4),
         0.0122*F391+3.37-0.00000215*POWER(F391,2)
      )
   )
),
0))/1000</f>
        <v>8.308059931071139E-4</v>
      </c>
      <c r="G392" s="56" t="s">
        <v>37</v>
      </c>
      <c r="H392" s="78">
        <f>(IFERROR(
IF($C$3="Tanques",
   IF(H391&lt;100,
      0.13*POWER(H391,0.669),
      0.0145*H391+1.39-0.00000283*POWER(H391,2)
   ),
   IF($C$3="Fluxometros",
      IF(H391&lt;150,
         0.68*POWER(H391,0.4),
         0.0122*H391+3.37-0.00000215*POWER(H391,2)
      )
   )
),
0))/1000</f>
        <v>7.868015628415885E-4</v>
      </c>
      <c r="I392" s="56" t="s">
        <v>37</v>
      </c>
      <c r="J392" s="78">
        <f>(IFERROR(
IF($C$3="Tanques",
   IF(J391&lt;100,
      0.13*POWER(J391,0.669),
      0.0145*J391+1.39-0.00000283*POWER(J391,2)
   ),
   IF($C$3="Fluxometros",
      IF(J391&lt;150,
         0.68*POWER(J391,0.4),
         0.0122*J391+3.37-0.00000215*POWER(J391,2)
      )
   )
),
0))/1000</f>
        <v>3.1475328426949371E-4</v>
      </c>
      <c r="K392" s="56" t="s">
        <v>37</v>
      </c>
    </row>
    <row r="393" spans="2:11" ht="15.5" x14ac:dyDescent="0.35">
      <c r="C393" s="1"/>
      <c r="F393" s="95">
        <f>(IFERROR(
IF($C$3="Tanques",
   IF(F391&lt;100,
      0.13*POWER(F391,0.669),
      0.0145*F391+1.39-0.00000283*POWER(F391,2)
   ),
   IF($C$3="Fluxometros",
      IF(F391&lt;150,
         0.68*POWER(F391,0.4),
         0.0122*F391+3.37-0.00000215*POWER(F391,2)
      )
   )
),
0))</f>
        <v>0.83080599310711389</v>
      </c>
      <c r="G393" s="55" t="s">
        <v>36</v>
      </c>
      <c r="H393" s="95">
        <f>(IFERROR(
IF($C$3="Tanques",
   IF(H391&lt;100,
      0.13*POWER(H391,0.669),
      0.0145*H391+1.39-0.00000283*POWER(H391,2)
   ),
   IF($C$3="Fluxometros",
      IF(H391&lt;150,
         0.68*POWER(H391,0.4),
         0.0122*H391+3.37-0.00000215*POWER(H391,2)
      )
   )
),
0))</f>
        <v>0.78680156284158853</v>
      </c>
      <c r="I393" s="55" t="s">
        <v>36</v>
      </c>
      <c r="J393" s="95">
        <f>(IFERROR(
IF($C$3="Tanques",
   IF(J391&lt;100,
      0.13*POWER(J391,0.669),
      0.0145*J391+1.39-0.00000283*POWER(J391,2)
   ),
   IF($C$3="Fluxometros",
      IF(J391&lt;150,
         0.68*POWER(J391,0.4),
         0.0122*J391+3.37-0.00000215*POWER(J391,2)
      )
   )
),
0))</f>
        <v>0.31475328426949373</v>
      </c>
      <c r="K393" s="55" t="s">
        <v>36</v>
      </c>
    </row>
    <row r="398" spans="2:11" x14ac:dyDescent="0.35">
      <c r="B398" s="111" t="s">
        <v>33</v>
      </c>
    </row>
    <row r="400" spans="2:11" ht="15.5" x14ac:dyDescent="0.35">
      <c r="B400" s="96" t="s">
        <v>38</v>
      </c>
      <c r="C400" s="96"/>
      <c r="D400" s="96"/>
      <c r="E400" s="96"/>
      <c r="F400" s="96"/>
      <c r="G400" s="96"/>
      <c r="H400" s="96"/>
      <c r="I400" s="96"/>
      <c r="J400" s="96"/>
    </row>
    <row r="401" spans="2:11" x14ac:dyDescent="0.35">
      <c r="B401" s="1" t="s">
        <v>74</v>
      </c>
      <c r="C401" s="66" t="s">
        <v>79</v>
      </c>
      <c r="D401" s="50"/>
      <c r="E401" s="50"/>
      <c r="F401" s="50"/>
      <c r="G401" s="50"/>
      <c r="H401" s="50"/>
      <c r="I401" s="50"/>
      <c r="J401" s="50"/>
    </row>
    <row r="402" spans="2:11" x14ac:dyDescent="0.35">
      <c r="B402" s="1" t="s">
        <v>72</v>
      </c>
      <c r="C402" s="66" t="s">
        <v>73</v>
      </c>
      <c r="D402" s="50"/>
      <c r="E402" s="50"/>
      <c r="F402" s="50"/>
      <c r="G402" s="50"/>
      <c r="H402" s="50"/>
      <c r="I402" s="50"/>
      <c r="J402" s="50"/>
    </row>
    <row r="403" spans="2:11" ht="16" thickBot="1" x14ac:dyDescent="0.4">
      <c r="B403" s="48"/>
      <c r="C403" s="49"/>
      <c r="D403" s="50"/>
      <c r="E403" s="50"/>
      <c r="F403" s="50"/>
      <c r="G403" s="50"/>
      <c r="H403" s="50"/>
      <c r="I403" s="50"/>
      <c r="J403" s="50"/>
    </row>
    <row r="404" spans="2:11" ht="31.5" thickBot="1" x14ac:dyDescent="0.4">
      <c r="B404" s="51" t="s">
        <v>0</v>
      </c>
      <c r="C404" s="51" t="s">
        <v>71</v>
      </c>
      <c r="D404" s="65" t="s">
        <v>69</v>
      </c>
      <c r="E404" s="65" t="s">
        <v>75</v>
      </c>
      <c r="F404" s="61" t="s">
        <v>70</v>
      </c>
      <c r="G404" s="79" t="s">
        <v>69</v>
      </c>
      <c r="H404" s="80" t="s">
        <v>77</v>
      </c>
      <c r="I404" s="87" t="s">
        <v>69</v>
      </c>
      <c r="J404" s="88" t="s">
        <v>78</v>
      </c>
    </row>
    <row r="405" spans="2:11" x14ac:dyDescent="0.35">
      <c r="B405" s="67" t="s">
        <v>55</v>
      </c>
      <c r="C405" s="70">
        <v>1</v>
      </c>
      <c r="D405" s="44">
        <f>IF(IF($C$4="Privado",1,0)=1,VLOOKUP(B405,'Piezas Sanitarias'!$B$4:$F$20,4,FALSE),VLOOKUP(B405,'Piezas Sanitarias'!$B$4:$F$20,5,FALSE))</f>
        <v>3</v>
      </c>
      <c r="E405" s="74" t="s">
        <v>80</v>
      </c>
      <c r="F405" s="62">
        <f>C405*D405</f>
        <v>3</v>
      </c>
      <c r="G405" s="81">
        <f>IF(E405="Fría",D405,D405*3/4)</f>
        <v>3</v>
      </c>
      <c r="H405" s="82">
        <f>C405*G405</f>
        <v>3</v>
      </c>
      <c r="I405" s="89">
        <f>IF(E405="Fría",0,D405*3/4)</f>
        <v>0</v>
      </c>
      <c r="J405" s="90">
        <f>C405*I405</f>
        <v>0</v>
      </c>
    </row>
    <row r="406" spans="2:11" x14ac:dyDescent="0.35">
      <c r="B406" s="68" t="s">
        <v>60</v>
      </c>
      <c r="C406" s="71">
        <v>1</v>
      </c>
      <c r="D406" s="45">
        <f>IF(IF($C$4="Privado",1,0)=1,VLOOKUP(B406,'Piezas Sanitarias'!$B$4:$F$20,4,FALSE),VLOOKUP(B406,'Piezas Sanitarias'!$B$4:$F$20,5,FALSE))</f>
        <v>1</v>
      </c>
      <c r="E406" s="75" t="s">
        <v>76</v>
      </c>
      <c r="F406" s="63">
        <f>C406*D406</f>
        <v>1</v>
      </c>
      <c r="G406" s="83">
        <f t="shared" ref="G406:G414" si="85">IF(E406="Fría",D406,D406*3/4)</f>
        <v>0.75</v>
      </c>
      <c r="H406" s="84">
        <f>C406*G406</f>
        <v>0.75</v>
      </c>
      <c r="I406" s="91">
        <f t="shared" ref="I406:I414" si="86">IF(E406="Fría",0,D406*3/4)</f>
        <v>0.75</v>
      </c>
      <c r="J406" s="92">
        <f>C406*I406</f>
        <v>0.75</v>
      </c>
    </row>
    <row r="407" spans="2:11" x14ac:dyDescent="0.35">
      <c r="B407" s="68" t="s">
        <v>51</v>
      </c>
      <c r="C407" s="71">
        <v>0</v>
      </c>
      <c r="D407" s="45">
        <f>IF(IF($C$4="Privado",1,0)=1,VLOOKUP(B407,'Piezas Sanitarias'!$B$4:$F$20,4,FALSE),VLOOKUP(B407,'Piezas Sanitarias'!$B$4:$F$20,5,FALSE))</f>
        <v>2</v>
      </c>
      <c r="E407" s="75" t="s">
        <v>76</v>
      </c>
      <c r="F407" s="63">
        <f t="shared" ref="F407:F414" si="87">C407*D407</f>
        <v>0</v>
      </c>
      <c r="G407" s="83">
        <f t="shared" si="85"/>
        <v>1.5</v>
      </c>
      <c r="H407" s="84">
        <f t="shared" ref="H407:H413" si="88">C407*G407</f>
        <v>0</v>
      </c>
      <c r="I407" s="91">
        <f t="shared" si="86"/>
        <v>1.5</v>
      </c>
      <c r="J407" s="92">
        <f>C407*I407</f>
        <v>0</v>
      </c>
    </row>
    <row r="408" spans="2:11" x14ac:dyDescent="0.35">
      <c r="B408" s="68" t="s">
        <v>68</v>
      </c>
      <c r="C408" s="71">
        <v>0</v>
      </c>
      <c r="D408" s="45">
        <f>IF(IF($C$4="Privado",1,0)=1,VLOOKUP(B408,'Piezas Sanitarias'!$B$4:$F$20,4,FALSE),VLOOKUP(B408,'Piezas Sanitarias'!$B$4:$F$20,5,FALSE))</f>
        <v>2</v>
      </c>
      <c r="E408" s="75" t="s">
        <v>80</v>
      </c>
      <c r="F408" s="63">
        <f t="shared" si="87"/>
        <v>0</v>
      </c>
      <c r="G408" s="83">
        <f t="shared" si="85"/>
        <v>2</v>
      </c>
      <c r="H408" s="84">
        <f t="shared" si="88"/>
        <v>0</v>
      </c>
      <c r="I408" s="91">
        <f t="shared" si="86"/>
        <v>0</v>
      </c>
      <c r="J408" s="92">
        <f t="shared" ref="J408:J411" si="89">C408*I408</f>
        <v>0</v>
      </c>
    </row>
    <row r="409" spans="2:11" x14ac:dyDescent="0.35">
      <c r="B409" s="68" t="s">
        <v>52</v>
      </c>
      <c r="C409" s="71">
        <v>0</v>
      </c>
      <c r="D409" s="45">
        <f>IF(IF($C$4="Privado",1,0)=1,VLOOKUP(B409,'Piezas Sanitarias'!$B$4:$F$20,4,FALSE),VLOOKUP(B409,'Piezas Sanitarias'!$B$4:$F$20,5,FALSE))</f>
        <v>2</v>
      </c>
      <c r="E409" s="75" t="s">
        <v>76</v>
      </c>
      <c r="F409" s="63">
        <f t="shared" si="87"/>
        <v>0</v>
      </c>
      <c r="G409" s="83">
        <f t="shared" si="85"/>
        <v>1.5</v>
      </c>
      <c r="H409" s="84">
        <f t="shared" si="88"/>
        <v>0</v>
      </c>
      <c r="I409" s="91">
        <f t="shared" si="86"/>
        <v>1.5</v>
      </c>
      <c r="J409" s="92">
        <f t="shared" si="89"/>
        <v>0</v>
      </c>
    </row>
    <row r="410" spans="2:11" x14ac:dyDescent="0.35">
      <c r="B410" s="68" t="s">
        <v>81</v>
      </c>
      <c r="C410" s="71"/>
      <c r="D410" s="45">
        <f>IF(IF($C$4="Privado",1,0)=1,VLOOKUP(B410,'Piezas Sanitarias'!$B$4:$F$20,4,FALSE),VLOOKUP(B410,'Piezas Sanitarias'!$B$4:$F$20,5,FALSE))</f>
        <v>0</v>
      </c>
      <c r="E410" s="75" t="s">
        <v>76</v>
      </c>
      <c r="F410" s="63">
        <f t="shared" si="87"/>
        <v>0</v>
      </c>
      <c r="G410" s="83">
        <f t="shared" si="85"/>
        <v>0</v>
      </c>
      <c r="H410" s="84">
        <f t="shared" si="88"/>
        <v>0</v>
      </c>
      <c r="I410" s="91">
        <f t="shared" si="86"/>
        <v>0</v>
      </c>
      <c r="J410" s="92">
        <f t="shared" si="89"/>
        <v>0</v>
      </c>
    </row>
    <row r="411" spans="2:11" x14ac:dyDescent="0.35">
      <c r="B411" s="68" t="s">
        <v>81</v>
      </c>
      <c r="C411" s="71"/>
      <c r="D411" s="45">
        <f>IF(IF($C$4="Privado",1,0)=1,VLOOKUP(B411,'Piezas Sanitarias'!$B$4:$F$20,4,FALSE),VLOOKUP(B411,'Piezas Sanitarias'!$B$4:$F$20,5,FALSE))</f>
        <v>0</v>
      </c>
      <c r="E411" s="75" t="s">
        <v>76</v>
      </c>
      <c r="F411" s="63">
        <f t="shared" si="87"/>
        <v>0</v>
      </c>
      <c r="G411" s="83">
        <f t="shared" si="85"/>
        <v>0</v>
      </c>
      <c r="H411" s="84">
        <f t="shared" si="88"/>
        <v>0</v>
      </c>
      <c r="I411" s="91">
        <f t="shared" si="86"/>
        <v>0</v>
      </c>
      <c r="J411" s="92">
        <f t="shared" si="89"/>
        <v>0</v>
      </c>
    </row>
    <row r="412" spans="2:11" x14ac:dyDescent="0.35">
      <c r="B412" s="68" t="s">
        <v>81</v>
      </c>
      <c r="C412" s="72"/>
      <c r="D412" s="45">
        <f>IF(IF($C$4="Privado",1,0)=1,VLOOKUP(B412,'Piezas Sanitarias'!$B$4:$F$20,4,FALSE),VLOOKUP(B412,'Piezas Sanitarias'!$B$4:$F$20,5,FALSE))</f>
        <v>0</v>
      </c>
      <c r="E412" s="75" t="s">
        <v>80</v>
      </c>
      <c r="F412" s="63">
        <f t="shared" si="87"/>
        <v>0</v>
      </c>
      <c r="G412" s="83">
        <f t="shared" si="85"/>
        <v>0</v>
      </c>
      <c r="H412" s="84">
        <f t="shared" si="88"/>
        <v>0</v>
      </c>
      <c r="I412" s="91">
        <f t="shared" si="86"/>
        <v>0</v>
      </c>
      <c r="J412" s="92">
        <f>C412*I412</f>
        <v>0</v>
      </c>
    </row>
    <row r="413" spans="2:11" x14ac:dyDescent="0.35">
      <c r="B413" s="68" t="s">
        <v>81</v>
      </c>
      <c r="C413" s="72"/>
      <c r="D413" s="45">
        <f>IF(IF($C$4="Privado",1,0)=1,VLOOKUP(B413,'Piezas Sanitarias'!$B$4:$F$20,4,FALSE),VLOOKUP(B413,'Piezas Sanitarias'!$B$4:$F$20,5,FALSE))</f>
        <v>0</v>
      </c>
      <c r="E413" s="75" t="s">
        <v>80</v>
      </c>
      <c r="F413" s="63">
        <f t="shared" si="87"/>
        <v>0</v>
      </c>
      <c r="G413" s="83">
        <f t="shared" si="85"/>
        <v>0</v>
      </c>
      <c r="H413" s="84">
        <f t="shared" si="88"/>
        <v>0</v>
      </c>
      <c r="I413" s="91">
        <f t="shared" si="86"/>
        <v>0</v>
      </c>
      <c r="J413" s="92">
        <f>C413*I413</f>
        <v>0</v>
      </c>
    </row>
    <row r="414" spans="2:11" ht="15" thickBot="1" x14ac:dyDescent="0.4">
      <c r="B414" s="69" t="s">
        <v>81</v>
      </c>
      <c r="C414" s="73"/>
      <c r="D414" s="46">
        <f>IF(IF($C$4="Privado",1,0)=1,VLOOKUP(B414,'Piezas Sanitarias'!$B$4:$F$20,4,FALSE),VLOOKUP(B414,'Piezas Sanitarias'!$B$4:$F$20,5,FALSE))</f>
        <v>0</v>
      </c>
      <c r="E414" s="76" t="s">
        <v>80</v>
      </c>
      <c r="F414" s="64">
        <f t="shared" si="87"/>
        <v>0</v>
      </c>
      <c r="G414" s="85">
        <f t="shared" si="85"/>
        <v>0</v>
      </c>
      <c r="H414" s="86">
        <f>C414*G414</f>
        <v>0</v>
      </c>
      <c r="I414" s="93">
        <f t="shared" si="86"/>
        <v>0</v>
      </c>
      <c r="J414" s="94">
        <f>C414*I414</f>
        <v>0</v>
      </c>
    </row>
    <row r="415" spans="2:11" ht="15.5" x14ac:dyDescent="0.35">
      <c r="B415" s="1"/>
      <c r="C415" s="52"/>
      <c r="D415" s="53" t="s">
        <v>1</v>
      </c>
      <c r="E415" s="53"/>
      <c r="F415" s="77">
        <f>SUM(F405:F414)</f>
        <v>4</v>
      </c>
      <c r="G415" s="54"/>
      <c r="H415" s="77">
        <f>SUM(H405:H414)</f>
        <v>3.75</v>
      </c>
      <c r="I415" s="54"/>
      <c r="J415" s="77">
        <f>SUM(J405:J414)</f>
        <v>0.75</v>
      </c>
      <c r="K415" s="54"/>
    </row>
    <row r="416" spans="2:11" ht="16.5" x14ac:dyDescent="0.35">
      <c r="B416" s="1"/>
      <c r="C416" s="1"/>
      <c r="D416" s="1" t="s">
        <v>2</v>
      </c>
      <c r="E416" s="1"/>
      <c r="F416" s="78">
        <f>(IFERROR(
IF($C$3="Tanques",
   IF(F415&lt;100,
      0.13*POWER(F415,0.669),
      0.0145*F415+1.39-0.00000283*POWER(F415,2)
   ),
   IF($C$3="Fluxometros",
      IF(F415&lt;150,
         0.68*POWER(F415,0.4),
         0.0122*F415+3.37-0.00000215*POWER(F415,2)
      )
   )
),
0))/1000</f>
        <v>3.286408055977298E-4</v>
      </c>
      <c r="G416" s="56" t="s">
        <v>37</v>
      </c>
      <c r="H416" s="78">
        <f>(IFERROR(
IF($C$3="Tanques",
   IF(H415&lt;100,
      0.13*POWER(H415,0.669),
      0.0145*H415+1.39-0.00000283*POWER(H415,2)
   ),
   IF($C$3="Fluxometros",
      IF(H415&lt;150,
         0.68*POWER(H415,0.4),
         0.0122*H415+3.37-0.00000215*POWER(H415,2)
      )
   )
),
0))/1000</f>
        <v>3.1475328426949371E-4</v>
      </c>
      <c r="I416" s="56" t="s">
        <v>37</v>
      </c>
      <c r="J416" s="78">
        <f>(IFERROR(
IF($C$3="Tanques",
   IF(J415&lt;100,
      0.13*POWER(J415,0.669),
      0.0145*J415+1.39-0.00000283*POWER(J415,2)
   ),
   IF($C$3="Fluxometros",
      IF(J415&lt;150,
         0.68*POWER(J415,0.4),
         0.0122*J415+3.37-0.00000215*POWER(J415,2)
      )
   )
),
0))/1000</f>
        <v>1.0724062527725242E-4</v>
      </c>
      <c r="K416" s="56" t="s">
        <v>37</v>
      </c>
    </row>
    <row r="417" spans="2:11" ht="15.5" x14ac:dyDescent="0.35">
      <c r="C417" s="1"/>
      <c r="F417" s="95">
        <f>(IFERROR(
IF($C$3="Tanques",
   IF(F415&lt;100,
      0.13*POWER(F415,0.669),
      0.0145*F415+1.39-0.00000283*POWER(F415,2)
   ),
   IF($C$3="Fluxometros",
      IF(F415&lt;150,
         0.68*POWER(F415,0.4),
         0.0122*F415+3.37-0.00000215*POWER(F415,2)
      )
   )
),
0))</f>
        <v>0.32864080559772979</v>
      </c>
      <c r="G417" s="55" t="s">
        <v>36</v>
      </c>
      <c r="H417" s="95">
        <f>(IFERROR(
IF($C$3="Tanques",
   IF(H415&lt;100,
      0.13*POWER(H415,0.669),
      0.0145*H415+1.39-0.00000283*POWER(H415,2)
   ),
   IF($C$3="Fluxometros",
      IF(H415&lt;150,
         0.68*POWER(H415,0.4),
         0.0122*H415+3.37-0.00000215*POWER(H415,2)
      )
   )
),
0))</f>
        <v>0.31475328426949373</v>
      </c>
      <c r="I417" s="55" t="s">
        <v>36</v>
      </c>
      <c r="J417" s="95">
        <f>(IFERROR(
IF($C$3="Tanques",
   IF(J415&lt;100,
      0.13*POWER(J415,0.669),
      0.0145*J415+1.39-0.00000283*POWER(J415,2)
   ),
   IF($C$3="Fluxometros",
      IF(J415&lt;150,
         0.68*POWER(J415,0.4),
         0.0122*J415+3.37-0.00000215*POWER(J415,2)
      )
   )
),
0))</f>
        <v>0.10724062527725242</v>
      </c>
      <c r="K417" s="55" t="s">
        <v>36</v>
      </c>
    </row>
    <row r="422" spans="2:11" x14ac:dyDescent="0.35">
      <c r="B422" s="111" t="s">
        <v>92</v>
      </c>
    </row>
    <row r="424" spans="2:11" ht="15.5" x14ac:dyDescent="0.35">
      <c r="B424" s="96" t="s">
        <v>38</v>
      </c>
      <c r="C424" s="96"/>
      <c r="D424" s="96"/>
      <c r="E424" s="96"/>
      <c r="F424" s="96"/>
      <c r="G424" s="96"/>
      <c r="H424" s="96"/>
      <c r="I424" s="96"/>
      <c r="J424" s="96"/>
    </row>
    <row r="425" spans="2:11" x14ac:dyDescent="0.35">
      <c r="B425" s="1" t="s">
        <v>74</v>
      </c>
      <c r="C425" s="66" t="s">
        <v>79</v>
      </c>
      <c r="D425" s="50"/>
      <c r="E425" s="50"/>
      <c r="F425" s="50"/>
      <c r="G425" s="50"/>
      <c r="H425" s="50"/>
      <c r="I425" s="50"/>
      <c r="J425" s="50"/>
    </row>
    <row r="426" spans="2:11" x14ac:dyDescent="0.35">
      <c r="B426" s="1" t="s">
        <v>72</v>
      </c>
      <c r="C426" s="66" t="s">
        <v>73</v>
      </c>
      <c r="D426" s="50"/>
      <c r="E426" s="50"/>
      <c r="F426" s="50"/>
      <c r="G426" s="50"/>
      <c r="H426" s="50"/>
      <c r="I426" s="50"/>
      <c r="J426" s="50"/>
    </row>
    <row r="427" spans="2:11" ht="16" thickBot="1" x14ac:dyDescent="0.4">
      <c r="B427" s="48"/>
      <c r="C427" s="49"/>
      <c r="D427" s="50"/>
      <c r="E427" s="50"/>
      <c r="F427" s="50"/>
      <c r="G427" s="50"/>
      <c r="H427" s="50"/>
      <c r="I427" s="50"/>
      <c r="J427" s="50"/>
    </row>
    <row r="428" spans="2:11" ht="31.5" thickBot="1" x14ac:dyDescent="0.4">
      <c r="B428" s="51" t="s">
        <v>0</v>
      </c>
      <c r="C428" s="51" t="s">
        <v>71</v>
      </c>
      <c r="D428" s="65" t="s">
        <v>69</v>
      </c>
      <c r="E428" s="65" t="s">
        <v>75</v>
      </c>
      <c r="F428" s="61" t="s">
        <v>70</v>
      </c>
      <c r="G428" s="79" t="s">
        <v>69</v>
      </c>
      <c r="H428" s="80" t="s">
        <v>77</v>
      </c>
      <c r="I428" s="87" t="s">
        <v>69</v>
      </c>
      <c r="J428" s="88" t="s">
        <v>78</v>
      </c>
    </row>
    <row r="429" spans="2:11" x14ac:dyDescent="0.35">
      <c r="B429" s="67" t="s">
        <v>55</v>
      </c>
      <c r="C429" s="70">
        <v>2</v>
      </c>
      <c r="D429" s="44">
        <f>IF(IF($C$4="Privado",1,0)=1,VLOOKUP(B429,'Piezas Sanitarias'!$B$4:$F$20,4,FALSE),VLOOKUP(B429,'Piezas Sanitarias'!$B$4:$F$20,5,FALSE))</f>
        <v>3</v>
      </c>
      <c r="E429" s="74" t="s">
        <v>80</v>
      </c>
      <c r="F429" s="62">
        <f>C429*D429</f>
        <v>6</v>
      </c>
      <c r="G429" s="81">
        <f>IF(E429="Fría",D429,D429*3/4)</f>
        <v>3</v>
      </c>
      <c r="H429" s="82">
        <f>C429*G429</f>
        <v>6</v>
      </c>
      <c r="I429" s="89">
        <f>IF(E429="Fría",0,D429*3/4)</f>
        <v>0</v>
      </c>
      <c r="J429" s="90">
        <f>C429*I429</f>
        <v>0</v>
      </c>
    </row>
    <row r="430" spans="2:11" x14ac:dyDescent="0.35">
      <c r="B430" s="68" t="s">
        <v>60</v>
      </c>
      <c r="C430" s="71">
        <v>2</v>
      </c>
      <c r="D430" s="45">
        <f>IF(IF($C$4="Privado",1,0)=1,VLOOKUP(B430,'Piezas Sanitarias'!$B$4:$F$20,4,FALSE),VLOOKUP(B430,'Piezas Sanitarias'!$B$4:$F$20,5,FALSE))</f>
        <v>1</v>
      </c>
      <c r="E430" s="75" t="s">
        <v>76</v>
      </c>
      <c r="F430" s="63">
        <f>C430*D430</f>
        <v>2</v>
      </c>
      <c r="G430" s="83">
        <f t="shared" ref="G430:G438" si="90">IF(E430="Fría",D430,D430*3/4)</f>
        <v>0.75</v>
      </c>
      <c r="H430" s="84">
        <f>C430*G430</f>
        <v>1.5</v>
      </c>
      <c r="I430" s="91">
        <f t="shared" ref="I430:I438" si="91">IF(E430="Fría",0,D430*3/4)</f>
        <v>0.75</v>
      </c>
      <c r="J430" s="92">
        <f>C430*I430</f>
        <v>1.5</v>
      </c>
    </row>
    <row r="431" spans="2:11" x14ac:dyDescent="0.35">
      <c r="B431" s="68" t="s">
        <v>51</v>
      </c>
      <c r="C431" s="71">
        <v>1</v>
      </c>
      <c r="D431" s="45">
        <f>IF(IF($C$4="Privado",1,0)=1,VLOOKUP(B431,'Piezas Sanitarias'!$B$4:$F$20,4,FALSE),VLOOKUP(B431,'Piezas Sanitarias'!$B$4:$F$20,5,FALSE))</f>
        <v>2</v>
      </c>
      <c r="E431" s="75" t="s">
        <v>76</v>
      </c>
      <c r="F431" s="63">
        <f t="shared" ref="F431:F438" si="92">C431*D431</f>
        <v>2</v>
      </c>
      <c r="G431" s="83">
        <f t="shared" si="90"/>
        <v>1.5</v>
      </c>
      <c r="H431" s="84">
        <f t="shared" ref="H431:H437" si="93">C431*G431</f>
        <v>1.5</v>
      </c>
      <c r="I431" s="91">
        <f t="shared" si="91"/>
        <v>1.5</v>
      </c>
      <c r="J431" s="92">
        <f>C431*I431</f>
        <v>1.5</v>
      </c>
    </row>
    <row r="432" spans="2:11" x14ac:dyDescent="0.35">
      <c r="B432" s="68" t="s">
        <v>68</v>
      </c>
      <c r="C432" s="71">
        <v>0</v>
      </c>
      <c r="D432" s="45">
        <f>IF(IF($C$4="Privado",1,0)=1,VLOOKUP(B432,'Piezas Sanitarias'!$B$4:$F$20,4,FALSE),VLOOKUP(B432,'Piezas Sanitarias'!$B$4:$F$20,5,FALSE))</f>
        <v>2</v>
      </c>
      <c r="E432" s="75" t="s">
        <v>80</v>
      </c>
      <c r="F432" s="63">
        <f t="shared" si="92"/>
        <v>0</v>
      </c>
      <c r="G432" s="83">
        <f t="shared" si="90"/>
        <v>2</v>
      </c>
      <c r="H432" s="84">
        <f t="shared" si="93"/>
        <v>0</v>
      </c>
      <c r="I432" s="91">
        <f t="shared" si="91"/>
        <v>0</v>
      </c>
      <c r="J432" s="92">
        <f t="shared" ref="J432:J435" si="94">C432*I432</f>
        <v>0</v>
      </c>
    </row>
    <row r="433" spans="2:11" x14ac:dyDescent="0.35">
      <c r="B433" s="68" t="s">
        <v>52</v>
      </c>
      <c r="C433" s="71">
        <v>0</v>
      </c>
      <c r="D433" s="45">
        <f>IF(IF($C$4="Privado",1,0)=1,VLOOKUP(B433,'Piezas Sanitarias'!$B$4:$F$20,4,FALSE),VLOOKUP(B433,'Piezas Sanitarias'!$B$4:$F$20,5,FALSE))</f>
        <v>2</v>
      </c>
      <c r="E433" s="75" t="s">
        <v>76</v>
      </c>
      <c r="F433" s="63">
        <f t="shared" si="92"/>
        <v>0</v>
      </c>
      <c r="G433" s="83">
        <f t="shared" si="90"/>
        <v>1.5</v>
      </c>
      <c r="H433" s="84">
        <f t="shared" si="93"/>
        <v>0</v>
      </c>
      <c r="I433" s="91">
        <f t="shared" si="91"/>
        <v>1.5</v>
      </c>
      <c r="J433" s="92">
        <f t="shared" si="94"/>
        <v>0</v>
      </c>
    </row>
    <row r="434" spans="2:11" x14ac:dyDescent="0.35">
      <c r="B434" s="68" t="s">
        <v>81</v>
      </c>
      <c r="C434" s="71"/>
      <c r="D434" s="45">
        <f>IF(IF($C$4="Privado",1,0)=1,VLOOKUP(B434,'Piezas Sanitarias'!$B$4:$F$20,4,FALSE),VLOOKUP(B434,'Piezas Sanitarias'!$B$4:$F$20,5,FALSE))</f>
        <v>0</v>
      </c>
      <c r="E434" s="75" t="s">
        <v>76</v>
      </c>
      <c r="F434" s="63">
        <f t="shared" si="92"/>
        <v>0</v>
      </c>
      <c r="G434" s="83">
        <f t="shared" si="90"/>
        <v>0</v>
      </c>
      <c r="H434" s="84">
        <f t="shared" si="93"/>
        <v>0</v>
      </c>
      <c r="I434" s="91">
        <f t="shared" si="91"/>
        <v>0</v>
      </c>
      <c r="J434" s="92">
        <f t="shared" si="94"/>
        <v>0</v>
      </c>
    </row>
    <row r="435" spans="2:11" x14ac:dyDescent="0.35">
      <c r="B435" s="68" t="s">
        <v>81</v>
      </c>
      <c r="C435" s="71"/>
      <c r="D435" s="45">
        <f>IF(IF($C$4="Privado",1,0)=1,VLOOKUP(B435,'Piezas Sanitarias'!$B$4:$F$20,4,FALSE),VLOOKUP(B435,'Piezas Sanitarias'!$B$4:$F$20,5,FALSE))</f>
        <v>0</v>
      </c>
      <c r="E435" s="75" t="s">
        <v>76</v>
      </c>
      <c r="F435" s="63">
        <f t="shared" si="92"/>
        <v>0</v>
      </c>
      <c r="G435" s="83">
        <f t="shared" si="90"/>
        <v>0</v>
      </c>
      <c r="H435" s="84">
        <f t="shared" si="93"/>
        <v>0</v>
      </c>
      <c r="I435" s="91">
        <f t="shared" si="91"/>
        <v>0</v>
      </c>
      <c r="J435" s="92">
        <f t="shared" si="94"/>
        <v>0</v>
      </c>
    </row>
    <row r="436" spans="2:11" x14ac:dyDescent="0.35">
      <c r="B436" s="68" t="s">
        <v>81</v>
      </c>
      <c r="C436" s="72"/>
      <c r="D436" s="45">
        <f>IF(IF($C$4="Privado",1,0)=1,VLOOKUP(B436,'Piezas Sanitarias'!$B$4:$F$20,4,FALSE),VLOOKUP(B436,'Piezas Sanitarias'!$B$4:$F$20,5,FALSE))</f>
        <v>0</v>
      </c>
      <c r="E436" s="75" t="s">
        <v>80</v>
      </c>
      <c r="F436" s="63">
        <f t="shared" si="92"/>
        <v>0</v>
      </c>
      <c r="G436" s="83">
        <f t="shared" si="90"/>
        <v>0</v>
      </c>
      <c r="H436" s="84">
        <f t="shared" si="93"/>
        <v>0</v>
      </c>
      <c r="I436" s="91">
        <f t="shared" si="91"/>
        <v>0</v>
      </c>
      <c r="J436" s="92">
        <f>C436*I436</f>
        <v>0</v>
      </c>
    </row>
    <row r="437" spans="2:11" x14ac:dyDescent="0.35">
      <c r="B437" s="68" t="s">
        <v>81</v>
      </c>
      <c r="C437" s="72"/>
      <c r="D437" s="45">
        <f>IF(IF($C$4="Privado",1,0)=1,VLOOKUP(B437,'Piezas Sanitarias'!$B$4:$F$20,4,FALSE),VLOOKUP(B437,'Piezas Sanitarias'!$B$4:$F$20,5,FALSE))</f>
        <v>0</v>
      </c>
      <c r="E437" s="75" t="s">
        <v>80</v>
      </c>
      <c r="F437" s="63">
        <f t="shared" si="92"/>
        <v>0</v>
      </c>
      <c r="G437" s="83">
        <f t="shared" si="90"/>
        <v>0</v>
      </c>
      <c r="H437" s="84">
        <f t="shared" si="93"/>
        <v>0</v>
      </c>
      <c r="I437" s="91">
        <f t="shared" si="91"/>
        <v>0</v>
      </c>
      <c r="J437" s="92">
        <f>C437*I437</f>
        <v>0</v>
      </c>
    </row>
    <row r="438" spans="2:11" ht="15" thickBot="1" x14ac:dyDescent="0.4">
      <c r="B438" s="69" t="s">
        <v>81</v>
      </c>
      <c r="C438" s="73"/>
      <c r="D438" s="46">
        <f>IF(IF($C$4="Privado",1,0)=1,VLOOKUP(B438,'Piezas Sanitarias'!$B$4:$F$20,4,FALSE),VLOOKUP(B438,'Piezas Sanitarias'!$B$4:$F$20,5,FALSE))</f>
        <v>0</v>
      </c>
      <c r="E438" s="76" t="s">
        <v>80</v>
      </c>
      <c r="F438" s="64">
        <f t="shared" si="92"/>
        <v>0</v>
      </c>
      <c r="G438" s="85">
        <f t="shared" si="90"/>
        <v>0</v>
      </c>
      <c r="H438" s="86">
        <f>C438*G438</f>
        <v>0</v>
      </c>
      <c r="I438" s="93">
        <f t="shared" si="91"/>
        <v>0</v>
      </c>
      <c r="J438" s="94">
        <f>C438*I438</f>
        <v>0</v>
      </c>
    </row>
    <row r="439" spans="2:11" ht="15.5" x14ac:dyDescent="0.35">
      <c r="B439" s="1"/>
      <c r="C439" s="52"/>
      <c r="D439" s="53" t="s">
        <v>1</v>
      </c>
      <c r="E439" s="53"/>
      <c r="F439" s="77">
        <f>SUM(F429:F438)</f>
        <v>10</v>
      </c>
      <c r="G439" s="54"/>
      <c r="H439" s="77">
        <f>SUM(H429:H438)</f>
        <v>9</v>
      </c>
      <c r="I439" s="54"/>
      <c r="J439" s="77">
        <f>SUM(J429:J438)</f>
        <v>3</v>
      </c>
      <c r="K439" s="54"/>
    </row>
    <row r="440" spans="2:11" ht="16.5" x14ac:dyDescent="0.35">
      <c r="B440" s="1"/>
      <c r="C440" s="1"/>
      <c r="D440" s="1" t="s">
        <v>2</v>
      </c>
      <c r="E440" s="1"/>
      <c r="F440" s="78">
        <f>(IFERROR(
IF($C$3="Tanques",
   IF(F439&lt;100,
      0.13*POWER(F439,0.669),
      0.0145*F439+1.39-0.00000283*POWER(F439,2)
   ),
   IF($C$3="Fluxometros",
      IF(F439&lt;150,
         0.68*POWER(F439,0.4),
         0.0122*F439+3.37-0.00000215*POWER(F439,2)
      )
   )
),
0))/1000</f>
        <v>6.0665719440857531E-4</v>
      </c>
      <c r="G440" s="56" t="s">
        <v>37</v>
      </c>
      <c r="H440" s="78">
        <f>(IFERROR(
IF($C$3="Tanques",
   IF(H439&lt;100,
      0.13*POWER(H439,0.669),
      0.0145*H439+1.39-0.00000283*POWER(H439,2)
   ),
   IF($C$3="Fluxometros",
      IF(H439&lt;150,
         0.68*POWER(H439,0.4),
         0.0122*H439+3.37-0.00000215*POWER(H439,2)
      )
   )
),
0))/1000</f>
        <v>5.6536847837791076E-4</v>
      </c>
      <c r="I440" s="56" t="s">
        <v>37</v>
      </c>
      <c r="J440" s="78">
        <f>(IFERROR(
IF($C$3="Tanques",
   IF(J439&lt;100,
      0.13*POWER(J439,0.669),
      0.0145*J439+1.39-0.00000283*POWER(J439,2)
   ),
   IF($C$3="Fluxometros",
      IF(J439&lt;150,
         0.68*POWER(J439,0.4),
         0.0122*J439+3.37-0.00000215*POWER(J439,2)
      )
   )
),
0))/1000</f>
        <v>2.71104965260927E-4</v>
      </c>
      <c r="K440" s="56" t="s">
        <v>37</v>
      </c>
    </row>
    <row r="441" spans="2:11" ht="15.5" x14ac:dyDescent="0.35">
      <c r="C441" s="1"/>
      <c r="F441" s="95">
        <f>(IFERROR(
IF($C$3="Tanques",
   IF(F439&lt;100,
      0.13*POWER(F439,0.669),
      0.0145*F439+1.39-0.00000283*POWER(F439,2)
   ),
   IF($C$3="Fluxometros",
      IF(F439&lt;150,
         0.68*POWER(F439,0.4),
         0.0122*F439+3.37-0.00000215*POWER(F439,2)
      )
   )
),
0))</f>
        <v>0.60665719440857535</v>
      </c>
      <c r="G441" s="55" t="s">
        <v>36</v>
      </c>
      <c r="H441" s="95">
        <f>(IFERROR(
IF($C$3="Tanques",
   IF(H439&lt;100,
      0.13*POWER(H439,0.669),
      0.0145*H439+1.39-0.00000283*POWER(H439,2)
   ),
   IF($C$3="Fluxometros",
      IF(H439&lt;150,
         0.68*POWER(H439,0.4),
         0.0122*H439+3.37-0.00000215*POWER(H439,2)
      )
   )
),
0))</f>
        <v>0.56536847837791071</v>
      </c>
      <c r="I441" s="55" t="s">
        <v>36</v>
      </c>
      <c r="J441" s="95">
        <f>(IFERROR(
IF($C$3="Tanques",
   IF(J439&lt;100,
      0.13*POWER(J439,0.669),
      0.0145*J439+1.39-0.00000283*POWER(J439,2)
   ),
   IF($C$3="Fluxometros",
      IF(J439&lt;150,
         0.68*POWER(J439,0.4),
         0.0122*J439+3.37-0.00000215*POWER(J439,2)
      )
   )
),
0))</f>
        <v>0.27110496526092698</v>
      </c>
      <c r="K441" s="55" t="s">
        <v>36</v>
      </c>
    </row>
    <row r="446" spans="2:11" x14ac:dyDescent="0.35">
      <c r="B446" s="111" t="s">
        <v>89</v>
      </c>
    </row>
    <row r="448" spans="2:11" ht="15.5" x14ac:dyDescent="0.35">
      <c r="B448" s="96" t="s">
        <v>38</v>
      </c>
      <c r="C448" s="96"/>
      <c r="D448" s="96"/>
      <c r="E448" s="96"/>
      <c r="F448" s="96"/>
      <c r="G448" s="96"/>
      <c r="H448" s="96"/>
      <c r="I448" s="96"/>
      <c r="J448" s="96"/>
    </row>
    <row r="449" spans="2:11" x14ac:dyDescent="0.35">
      <c r="B449" s="1" t="s">
        <v>74</v>
      </c>
      <c r="C449" s="66" t="s">
        <v>79</v>
      </c>
      <c r="D449" s="50"/>
      <c r="E449" s="50"/>
      <c r="F449" s="50"/>
      <c r="G449" s="50"/>
      <c r="H449" s="50"/>
      <c r="I449" s="50"/>
      <c r="J449" s="50"/>
    </row>
    <row r="450" spans="2:11" x14ac:dyDescent="0.35">
      <c r="B450" s="1" t="s">
        <v>72</v>
      </c>
      <c r="C450" s="66" t="s">
        <v>73</v>
      </c>
      <c r="D450" s="50"/>
      <c r="E450" s="50"/>
      <c r="F450" s="50"/>
      <c r="G450" s="50"/>
      <c r="H450" s="50"/>
      <c r="I450" s="50"/>
      <c r="J450" s="50"/>
    </row>
    <row r="451" spans="2:11" ht="16" thickBot="1" x14ac:dyDescent="0.4">
      <c r="B451" s="48"/>
      <c r="C451" s="49"/>
      <c r="D451" s="50"/>
      <c r="E451" s="50"/>
      <c r="F451" s="50"/>
      <c r="G451" s="50"/>
      <c r="H451" s="50"/>
      <c r="I451" s="50"/>
      <c r="J451" s="50"/>
    </row>
    <row r="452" spans="2:11" ht="31.5" thickBot="1" x14ac:dyDescent="0.4">
      <c r="B452" s="51" t="s">
        <v>0</v>
      </c>
      <c r="C452" s="51" t="s">
        <v>71</v>
      </c>
      <c r="D452" s="65" t="s">
        <v>69</v>
      </c>
      <c r="E452" s="65" t="s">
        <v>75</v>
      </c>
      <c r="F452" s="61" t="s">
        <v>70</v>
      </c>
      <c r="G452" s="79" t="s">
        <v>69</v>
      </c>
      <c r="H452" s="80" t="s">
        <v>77</v>
      </c>
      <c r="I452" s="87" t="s">
        <v>69</v>
      </c>
      <c r="J452" s="88" t="s">
        <v>78</v>
      </c>
    </row>
    <row r="453" spans="2:11" x14ac:dyDescent="0.35">
      <c r="B453" s="67" t="s">
        <v>55</v>
      </c>
      <c r="C453" s="70">
        <v>1</v>
      </c>
      <c r="D453" s="44">
        <f>IF(IF($C$4="Privado",1,0)=1,VLOOKUP(B453,'Piezas Sanitarias'!$B$4:$F$20,4,FALSE),VLOOKUP(B453,'Piezas Sanitarias'!$B$4:$F$20,5,FALSE))</f>
        <v>3</v>
      </c>
      <c r="E453" s="74" t="s">
        <v>80</v>
      </c>
      <c r="F453" s="62">
        <f>C453*D453</f>
        <v>3</v>
      </c>
      <c r="G453" s="81">
        <f>IF(E453="Fría",D453,D453*3/4)</f>
        <v>3</v>
      </c>
      <c r="H453" s="82">
        <f>C453*G453</f>
        <v>3</v>
      </c>
      <c r="I453" s="89">
        <f>IF(E453="Fría",0,D453*3/4)</f>
        <v>0</v>
      </c>
      <c r="J453" s="90">
        <f>C453*I453</f>
        <v>0</v>
      </c>
    </row>
    <row r="454" spans="2:11" x14ac:dyDescent="0.35">
      <c r="B454" s="68" t="s">
        <v>60</v>
      </c>
      <c r="C454" s="71">
        <v>1</v>
      </c>
      <c r="D454" s="45">
        <f>IF(IF($C$4="Privado",1,0)=1,VLOOKUP(B454,'Piezas Sanitarias'!$B$4:$F$20,4,FALSE),VLOOKUP(B454,'Piezas Sanitarias'!$B$4:$F$20,5,FALSE))</f>
        <v>1</v>
      </c>
      <c r="E454" s="75" t="s">
        <v>76</v>
      </c>
      <c r="F454" s="63">
        <f>C454*D454</f>
        <v>1</v>
      </c>
      <c r="G454" s="83">
        <f t="shared" ref="G454:G462" si="95">IF(E454="Fría",D454,D454*3/4)</f>
        <v>0.75</v>
      </c>
      <c r="H454" s="84">
        <f>C454*G454</f>
        <v>0.75</v>
      </c>
      <c r="I454" s="91">
        <f t="shared" ref="I454:I462" si="96">IF(E454="Fría",0,D454*3/4)</f>
        <v>0.75</v>
      </c>
      <c r="J454" s="92">
        <f>C454*I454</f>
        <v>0.75</v>
      </c>
    </row>
    <row r="455" spans="2:11" x14ac:dyDescent="0.35">
      <c r="B455" s="68" t="s">
        <v>51</v>
      </c>
      <c r="C455" s="71">
        <v>1</v>
      </c>
      <c r="D455" s="45">
        <f>IF(IF($C$4="Privado",1,0)=1,VLOOKUP(B455,'Piezas Sanitarias'!$B$4:$F$20,4,FALSE),VLOOKUP(B455,'Piezas Sanitarias'!$B$4:$F$20,5,FALSE))</f>
        <v>2</v>
      </c>
      <c r="E455" s="75" t="s">
        <v>76</v>
      </c>
      <c r="F455" s="63">
        <f t="shared" ref="F455:F462" si="97">C455*D455</f>
        <v>2</v>
      </c>
      <c r="G455" s="83">
        <f t="shared" si="95"/>
        <v>1.5</v>
      </c>
      <c r="H455" s="84">
        <f t="shared" ref="H455:H461" si="98">C455*G455</f>
        <v>1.5</v>
      </c>
      <c r="I455" s="91">
        <f t="shared" si="96"/>
        <v>1.5</v>
      </c>
      <c r="J455" s="92">
        <f>C455*I455</f>
        <v>1.5</v>
      </c>
    </row>
    <row r="456" spans="2:11" x14ac:dyDescent="0.35">
      <c r="B456" s="68" t="s">
        <v>68</v>
      </c>
      <c r="C456" s="71">
        <v>0</v>
      </c>
      <c r="D456" s="45">
        <f>IF(IF($C$4="Privado",1,0)=1,VLOOKUP(B456,'Piezas Sanitarias'!$B$4:$F$20,4,FALSE),VLOOKUP(B456,'Piezas Sanitarias'!$B$4:$F$20,5,FALSE))</f>
        <v>2</v>
      </c>
      <c r="E456" s="75" t="s">
        <v>80</v>
      </c>
      <c r="F456" s="63">
        <f t="shared" si="97"/>
        <v>0</v>
      </c>
      <c r="G456" s="83">
        <f t="shared" si="95"/>
        <v>2</v>
      </c>
      <c r="H456" s="84">
        <f t="shared" si="98"/>
        <v>0</v>
      </c>
      <c r="I456" s="91">
        <f t="shared" si="96"/>
        <v>0</v>
      </c>
      <c r="J456" s="92">
        <f t="shared" ref="J456:J459" si="99">C456*I456</f>
        <v>0</v>
      </c>
    </row>
    <row r="457" spans="2:11" x14ac:dyDescent="0.35">
      <c r="B457" s="68" t="s">
        <v>52</v>
      </c>
      <c r="C457" s="71">
        <v>0</v>
      </c>
      <c r="D457" s="45">
        <f>IF(IF($C$4="Privado",1,0)=1,VLOOKUP(B457,'Piezas Sanitarias'!$B$4:$F$20,4,FALSE),VLOOKUP(B457,'Piezas Sanitarias'!$B$4:$F$20,5,FALSE))</f>
        <v>2</v>
      </c>
      <c r="E457" s="75" t="s">
        <v>76</v>
      </c>
      <c r="F457" s="63">
        <f t="shared" si="97"/>
        <v>0</v>
      </c>
      <c r="G457" s="83">
        <f t="shared" si="95"/>
        <v>1.5</v>
      </c>
      <c r="H457" s="84">
        <f t="shared" si="98"/>
        <v>0</v>
      </c>
      <c r="I457" s="91">
        <f t="shared" si="96"/>
        <v>1.5</v>
      </c>
      <c r="J457" s="92">
        <f t="shared" si="99"/>
        <v>0</v>
      </c>
    </row>
    <row r="458" spans="2:11" x14ac:dyDescent="0.35">
      <c r="B458" s="68" t="s">
        <v>81</v>
      </c>
      <c r="C458" s="71"/>
      <c r="D458" s="45">
        <f>IF(IF($C$4="Privado",1,0)=1,VLOOKUP(B458,'Piezas Sanitarias'!$B$4:$F$20,4,FALSE),VLOOKUP(B458,'Piezas Sanitarias'!$B$4:$F$20,5,FALSE))</f>
        <v>0</v>
      </c>
      <c r="E458" s="75" t="s">
        <v>76</v>
      </c>
      <c r="F458" s="63">
        <f t="shared" si="97"/>
        <v>0</v>
      </c>
      <c r="G458" s="83">
        <f t="shared" si="95"/>
        <v>0</v>
      </c>
      <c r="H458" s="84">
        <f t="shared" si="98"/>
        <v>0</v>
      </c>
      <c r="I458" s="91">
        <f t="shared" si="96"/>
        <v>0</v>
      </c>
      <c r="J458" s="92">
        <f t="shared" si="99"/>
        <v>0</v>
      </c>
    </row>
    <row r="459" spans="2:11" x14ac:dyDescent="0.35">
      <c r="B459" s="68" t="s">
        <v>81</v>
      </c>
      <c r="C459" s="71"/>
      <c r="D459" s="45">
        <f>IF(IF($C$4="Privado",1,0)=1,VLOOKUP(B459,'Piezas Sanitarias'!$B$4:$F$20,4,FALSE),VLOOKUP(B459,'Piezas Sanitarias'!$B$4:$F$20,5,FALSE))</f>
        <v>0</v>
      </c>
      <c r="E459" s="75" t="s">
        <v>76</v>
      </c>
      <c r="F459" s="63">
        <f t="shared" si="97"/>
        <v>0</v>
      </c>
      <c r="G459" s="83">
        <f t="shared" si="95"/>
        <v>0</v>
      </c>
      <c r="H459" s="84">
        <f t="shared" si="98"/>
        <v>0</v>
      </c>
      <c r="I459" s="91">
        <f t="shared" si="96"/>
        <v>0</v>
      </c>
      <c r="J459" s="92">
        <f t="shared" si="99"/>
        <v>0</v>
      </c>
    </row>
    <row r="460" spans="2:11" x14ac:dyDescent="0.35">
      <c r="B460" s="68" t="s">
        <v>81</v>
      </c>
      <c r="C460" s="72"/>
      <c r="D460" s="45">
        <f>IF(IF($C$4="Privado",1,0)=1,VLOOKUP(B460,'Piezas Sanitarias'!$B$4:$F$20,4,FALSE),VLOOKUP(B460,'Piezas Sanitarias'!$B$4:$F$20,5,FALSE))</f>
        <v>0</v>
      </c>
      <c r="E460" s="75" t="s">
        <v>80</v>
      </c>
      <c r="F460" s="63">
        <f t="shared" si="97"/>
        <v>0</v>
      </c>
      <c r="G460" s="83">
        <f t="shared" si="95"/>
        <v>0</v>
      </c>
      <c r="H460" s="84">
        <f t="shared" si="98"/>
        <v>0</v>
      </c>
      <c r="I460" s="91">
        <f t="shared" si="96"/>
        <v>0</v>
      </c>
      <c r="J460" s="92">
        <f>C460*I460</f>
        <v>0</v>
      </c>
    </row>
    <row r="461" spans="2:11" x14ac:dyDescent="0.35">
      <c r="B461" s="68" t="s">
        <v>81</v>
      </c>
      <c r="C461" s="72"/>
      <c r="D461" s="45">
        <f>IF(IF($C$4="Privado",1,0)=1,VLOOKUP(B461,'Piezas Sanitarias'!$B$4:$F$20,4,FALSE),VLOOKUP(B461,'Piezas Sanitarias'!$B$4:$F$20,5,FALSE))</f>
        <v>0</v>
      </c>
      <c r="E461" s="75" t="s">
        <v>80</v>
      </c>
      <c r="F461" s="63">
        <f t="shared" si="97"/>
        <v>0</v>
      </c>
      <c r="G461" s="83">
        <f t="shared" si="95"/>
        <v>0</v>
      </c>
      <c r="H461" s="84">
        <f t="shared" si="98"/>
        <v>0</v>
      </c>
      <c r="I461" s="91">
        <f t="shared" si="96"/>
        <v>0</v>
      </c>
      <c r="J461" s="92">
        <f>C461*I461</f>
        <v>0</v>
      </c>
    </row>
    <row r="462" spans="2:11" ht="15" thickBot="1" x14ac:dyDescent="0.4">
      <c r="B462" s="69" t="s">
        <v>81</v>
      </c>
      <c r="C462" s="73"/>
      <c r="D462" s="46">
        <f>IF(IF($C$4="Privado",1,0)=1,VLOOKUP(B462,'Piezas Sanitarias'!$B$4:$F$20,4,FALSE),VLOOKUP(B462,'Piezas Sanitarias'!$B$4:$F$20,5,FALSE))</f>
        <v>0</v>
      </c>
      <c r="E462" s="76" t="s">
        <v>80</v>
      </c>
      <c r="F462" s="64">
        <f t="shared" si="97"/>
        <v>0</v>
      </c>
      <c r="G462" s="85">
        <f t="shared" si="95"/>
        <v>0</v>
      </c>
      <c r="H462" s="86">
        <f>C462*G462</f>
        <v>0</v>
      </c>
      <c r="I462" s="93">
        <f t="shared" si="96"/>
        <v>0</v>
      </c>
      <c r="J462" s="94">
        <f>C462*I462</f>
        <v>0</v>
      </c>
    </row>
    <row r="463" spans="2:11" ht="15.5" x14ac:dyDescent="0.35">
      <c r="B463" s="1"/>
      <c r="C463" s="52"/>
      <c r="D463" s="53" t="s">
        <v>1</v>
      </c>
      <c r="E463" s="53"/>
      <c r="F463" s="77">
        <f>SUM(F453:F462)</f>
        <v>6</v>
      </c>
      <c r="G463" s="54"/>
      <c r="H463" s="77">
        <f>SUM(H453:H462)</f>
        <v>5.25</v>
      </c>
      <c r="I463" s="54"/>
      <c r="J463" s="77">
        <f>SUM(J453:J462)</f>
        <v>2.25</v>
      </c>
      <c r="K463" s="54"/>
    </row>
    <row r="464" spans="2:11" ht="16.5" x14ac:dyDescent="0.35">
      <c r="B464" s="1"/>
      <c r="C464" s="1"/>
      <c r="D464" s="1" t="s">
        <v>2</v>
      </c>
      <c r="E464" s="1"/>
      <c r="F464" s="78">
        <f>(IFERROR(
IF($C$3="Tanques",
   IF(F463&lt;100,
      0.13*POWER(F463,0.669),
      0.0145*F463+1.39-0.00000283*POWER(F463,2)
   ),
   IF($C$3="Fluxometros",
      IF(F463&lt;150,
         0.68*POWER(F463,0.4),
         0.0122*F463+3.37-0.00000215*POWER(F463,2)
      )
   )
),
0))/1000</f>
        <v>4.3104889768294183E-4</v>
      </c>
      <c r="G464" s="56" t="s">
        <v>37</v>
      </c>
      <c r="H464" s="78">
        <f>(IFERROR(
IF($C$3="Tanques",
   IF(H463&lt;100,
      0.13*POWER(H463,0.669),
      0.0145*H463+1.39-0.00000283*POWER(H463,2)
   ),
   IF($C$3="Fluxometros",
      IF(H463&lt;150,
         0.68*POWER(H463,0.4),
         0.0122*H463+3.37-0.00000215*POWER(H463,2)
      )
   )
),
0))/1000</f>
        <v>3.9421207807280794E-4</v>
      </c>
      <c r="I464" s="56" t="s">
        <v>37</v>
      </c>
      <c r="J464" s="78">
        <f>(IFERROR(
IF($C$3="Tanques",
   IF(J463&lt;100,
      0.13*POWER(J463,0.669),
      0.0145*J463+1.39-0.00000283*POWER(J463,2)
   ),
   IF($C$3="Fluxometros",
      IF(J463&lt;150,
         0.68*POWER(J463,0.4),
         0.0122*J463+3.37-0.00000215*POWER(J463,2)
      )
   )
),
0))/1000</f>
        <v>2.2364204607961224E-4</v>
      </c>
      <c r="K464" s="56" t="s">
        <v>37</v>
      </c>
    </row>
    <row r="465" spans="2:11" ht="15.5" x14ac:dyDescent="0.35">
      <c r="C465" s="1"/>
      <c r="F465" s="95">
        <f>(IFERROR(
IF($C$3="Tanques",
   IF(F463&lt;100,
      0.13*POWER(F463,0.669),
      0.0145*F463+1.39-0.00000283*POWER(F463,2)
   ),
   IF($C$3="Fluxometros",
      IF(F463&lt;150,
         0.68*POWER(F463,0.4),
         0.0122*F463+3.37-0.00000215*POWER(F463,2)
      )
   )
),
0))</f>
        <v>0.4310488976829418</v>
      </c>
      <c r="G465" s="55" t="s">
        <v>36</v>
      </c>
      <c r="H465" s="95">
        <f>(IFERROR(
IF($C$3="Tanques",
   IF(H463&lt;100,
      0.13*POWER(H463,0.669),
      0.0145*H463+1.39-0.00000283*POWER(H463,2)
   ),
   IF($C$3="Fluxometros",
      IF(H463&lt;150,
         0.68*POWER(H463,0.4),
         0.0122*H463+3.37-0.00000215*POWER(H463,2)
      )
   )
),
0))</f>
        <v>0.39421207807280795</v>
      </c>
      <c r="I465" s="55" t="s">
        <v>36</v>
      </c>
      <c r="J465" s="95">
        <f>(IFERROR(
IF($C$3="Tanques",
   IF(J463&lt;100,
      0.13*POWER(J463,0.669),
      0.0145*J463+1.39-0.00000283*POWER(J463,2)
   ),
   IF($C$3="Fluxometros",
      IF(J463&lt;150,
         0.68*POWER(J463,0.4),
         0.0122*J463+3.37-0.00000215*POWER(J463,2)
      )
   )
),
0))</f>
        <v>0.22364204607961224</v>
      </c>
      <c r="K465" s="55" t="s">
        <v>36</v>
      </c>
    </row>
    <row r="469" spans="2:11" x14ac:dyDescent="0.35">
      <c r="B469" s="111" t="s">
        <v>93</v>
      </c>
    </row>
    <row r="471" spans="2:11" ht="15.5" x14ac:dyDescent="0.35">
      <c r="B471" s="96" t="s">
        <v>38</v>
      </c>
      <c r="C471" s="96"/>
      <c r="D471" s="96"/>
      <c r="E471" s="96"/>
      <c r="F471" s="96"/>
      <c r="G471" s="96"/>
      <c r="H471" s="96"/>
      <c r="I471" s="96"/>
      <c r="J471" s="96"/>
    </row>
    <row r="472" spans="2:11" x14ac:dyDescent="0.35">
      <c r="B472" s="1" t="s">
        <v>74</v>
      </c>
      <c r="C472" s="66" t="s">
        <v>79</v>
      </c>
      <c r="D472" s="50"/>
      <c r="E472" s="50"/>
      <c r="F472" s="50"/>
      <c r="G472" s="50"/>
      <c r="H472" s="50"/>
      <c r="I472" s="50"/>
      <c r="J472" s="50"/>
    </row>
    <row r="473" spans="2:11" x14ac:dyDescent="0.35">
      <c r="B473" s="1" t="s">
        <v>72</v>
      </c>
      <c r="C473" s="66" t="s">
        <v>73</v>
      </c>
      <c r="D473" s="50"/>
      <c r="E473" s="50"/>
      <c r="F473" s="50"/>
      <c r="G473" s="50"/>
      <c r="H473" s="50"/>
      <c r="I473" s="50"/>
      <c r="J473" s="50"/>
    </row>
    <row r="474" spans="2:11" ht="16" thickBot="1" x14ac:dyDescent="0.4">
      <c r="B474" s="48"/>
      <c r="C474" s="49"/>
      <c r="D474" s="50"/>
      <c r="E474" s="50"/>
      <c r="F474" s="50"/>
      <c r="G474" s="50"/>
      <c r="H474" s="50"/>
      <c r="I474" s="50"/>
      <c r="J474" s="50"/>
    </row>
    <row r="475" spans="2:11" ht="31.5" thickBot="1" x14ac:dyDescent="0.4">
      <c r="B475" s="51" t="s">
        <v>0</v>
      </c>
      <c r="C475" s="51" t="s">
        <v>71</v>
      </c>
      <c r="D475" s="65" t="s">
        <v>69</v>
      </c>
      <c r="E475" s="65" t="s">
        <v>75</v>
      </c>
      <c r="F475" s="61" t="s">
        <v>70</v>
      </c>
      <c r="G475" s="79" t="s">
        <v>69</v>
      </c>
      <c r="H475" s="80" t="s">
        <v>77</v>
      </c>
      <c r="I475" s="87" t="s">
        <v>69</v>
      </c>
      <c r="J475" s="88" t="s">
        <v>78</v>
      </c>
    </row>
    <row r="476" spans="2:11" x14ac:dyDescent="0.35">
      <c r="B476" s="67" t="s">
        <v>55</v>
      </c>
      <c r="C476" s="70">
        <v>1</v>
      </c>
      <c r="D476" s="44">
        <f>IF(IF($C$4="Privado",1,0)=1,VLOOKUP(B476,'Piezas Sanitarias'!$B$4:$F$20,4,FALSE),VLOOKUP(B476,'Piezas Sanitarias'!$B$4:$F$20,5,FALSE))</f>
        <v>3</v>
      </c>
      <c r="E476" s="74" t="s">
        <v>80</v>
      </c>
      <c r="F476" s="62">
        <f>C476*D476</f>
        <v>3</v>
      </c>
      <c r="G476" s="81">
        <f>IF(E476="Fría",D476,D476*3/4)</f>
        <v>3</v>
      </c>
      <c r="H476" s="82">
        <f>C476*G476</f>
        <v>3</v>
      </c>
      <c r="I476" s="89">
        <f>IF(E476="Fría",0,D476*3/4)</f>
        <v>0</v>
      </c>
      <c r="J476" s="90">
        <f>C476*I476</f>
        <v>0</v>
      </c>
    </row>
    <row r="477" spans="2:11" x14ac:dyDescent="0.35">
      <c r="B477" s="68" t="s">
        <v>60</v>
      </c>
      <c r="C477" s="71">
        <v>1</v>
      </c>
      <c r="D477" s="45">
        <f>IF(IF($C$4="Privado",1,0)=1,VLOOKUP(B477,'Piezas Sanitarias'!$B$4:$F$20,4,FALSE),VLOOKUP(B477,'Piezas Sanitarias'!$B$4:$F$20,5,FALSE))</f>
        <v>1</v>
      </c>
      <c r="E477" s="75" t="s">
        <v>76</v>
      </c>
      <c r="F477" s="63">
        <f>C477*D477</f>
        <v>1</v>
      </c>
      <c r="G477" s="83">
        <f t="shared" ref="G477:G485" si="100">IF(E477="Fría",D477,D477*3/4)</f>
        <v>0.75</v>
      </c>
      <c r="H477" s="84">
        <f>C477*G477</f>
        <v>0.75</v>
      </c>
      <c r="I477" s="91">
        <f t="shared" ref="I477:I485" si="101">IF(E477="Fría",0,D477*3/4)</f>
        <v>0.75</v>
      </c>
      <c r="J477" s="92">
        <f>C477*I477</f>
        <v>0.75</v>
      </c>
    </row>
    <row r="478" spans="2:11" x14ac:dyDescent="0.35">
      <c r="B478" s="68" t="s">
        <v>51</v>
      </c>
      <c r="C478" s="71">
        <v>0</v>
      </c>
      <c r="D478" s="45">
        <f>IF(IF($C$4="Privado",1,0)=1,VLOOKUP(B478,'Piezas Sanitarias'!$B$4:$F$20,4,FALSE),VLOOKUP(B478,'Piezas Sanitarias'!$B$4:$F$20,5,FALSE))</f>
        <v>2</v>
      </c>
      <c r="E478" s="75" t="s">
        <v>76</v>
      </c>
      <c r="F478" s="63">
        <f t="shared" ref="F478:F485" si="102">C478*D478</f>
        <v>0</v>
      </c>
      <c r="G478" s="83">
        <f t="shared" si="100"/>
        <v>1.5</v>
      </c>
      <c r="H478" s="84">
        <f t="shared" ref="H478:H484" si="103">C478*G478</f>
        <v>0</v>
      </c>
      <c r="I478" s="91">
        <f t="shared" si="101"/>
        <v>1.5</v>
      </c>
      <c r="J478" s="92">
        <f>C478*I478</f>
        <v>0</v>
      </c>
    </row>
    <row r="479" spans="2:11" x14ac:dyDescent="0.35">
      <c r="B479" s="68" t="s">
        <v>68</v>
      </c>
      <c r="C479" s="71">
        <v>0</v>
      </c>
      <c r="D479" s="45">
        <f>IF(IF($C$4="Privado",1,0)=1,VLOOKUP(B479,'Piezas Sanitarias'!$B$4:$F$20,4,FALSE),VLOOKUP(B479,'Piezas Sanitarias'!$B$4:$F$20,5,FALSE))</f>
        <v>2</v>
      </c>
      <c r="E479" s="75" t="s">
        <v>80</v>
      </c>
      <c r="F479" s="63">
        <f t="shared" si="102"/>
        <v>0</v>
      </c>
      <c r="G479" s="83">
        <f t="shared" si="100"/>
        <v>2</v>
      </c>
      <c r="H479" s="84">
        <f t="shared" si="103"/>
        <v>0</v>
      </c>
      <c r="I479" s="91">
        <f t="shared" si="101"/>
        <v>0</v>
      </c>
      <c r="J479" s="92">
        <f t="shared" ref="J479:J482" si="104">C479*I479</f>
        <v>0</v>
      </c>
    </row>
    <row r="480" spans="2:11" x14ac:dyDescent="0.35">
      <c r="B480" s="68" t="s">
        <v>52</v>
      </c>
      <c r="C480" s="71">
        <v>0</v>
      </c>
      <c r="D480" s="45">
        <f>IF(IF($C$4="Privado",1,0)=1,VLOOKUP(B480,'Piezas Sanitarias'!$B$4:$F$20,4,FALSE),VLOOKUP(B480,'Piezas Sanitarias'!$B$4:$F$20,5,FALSE))</f>
        <v>2</v>
      </c>
      <c r="E480" s="75" t="s">
        <v>76</v>
      </c>
      <c r="F480" s="63">
        <f t="shared" si="102"/>
        <v>0</v>
      </c>
      <c r="G480" s="83">
        <f t="shared" si="100"/>
        <v>1.5</v>
      </c>
      <c r="H480" s="84">
        <f t="shared" si="103"/>
        <v>0</v>
      </c>
      <c r="I480" s="91">
        <f t="shared" si="101"/>
        <v>1.5</v>
      </c>
      <c r="J480" s="92">
        <f t="shared" si="104"/>
        <v>0</v>
      </c>
    </row>
    <row r="481" spans="2:11" x14ac:dyDescent="0.35">
      <c r="B481" s="68" t="s">
        <v>81</v>
      </c>
      <c r="C481" s="71"/>
      <c r="D481" s="45">
        <f>IF(IF($C$4="Privado",1,0)=1,VLOOKUP(B481,'Piezas Sanitarias'!$B$4:$F$20,4,FALSE),VLOOKUP(B481,'Piezas Sanitarias'!$B$4:$F$20,5,FALSE))</f>
        <v>0</v>
      </c>
      <c r="E481" s="75" t="s">
        <v>76</v>
      </c>
      <c r="F481" s="63">
        <f t="shared" si="102"/>
        <v>0</v>
      </c>
      <c r="G481" s="83">
        <f t="shared" si="100"/>
        <v>0</v>
      </c>
      <c r="H481" s="84">
        <f t="shared" si="103"/>
        <v>0</v>
      </c>
      <c r="I481" s="91">
        <f t="shared" si="101"/>
        <v>0</v>
      </c>
      <c r="J481" s="92">
        <f t="shared" si="104"/>
        <v>0</v>
      </c>
    </row>
    <row r="482" spans="2:11" x14ac:dyDescent="0.35">
      <c r="B482" s="68" t="s">
        <v>81</v>
      </c>
      <c r="C482" s="71"/>
      <c r="D482" s="45">
        <f>IF(IF($C$4="Privado",1,0)=1,VLOOKUP(B482,'Piezas Sanitarias'!$B$4:$F$20,4,FALSE),VLOOKUP(B482,'Piezas Sanitarias'!$B$4:$F$20,5,FALSE))</f>
        <v>0</v>
      </c>
      <c r="E482" s="75" t="s">
        <v>76</v>
      </c>
      <c r="F482" s="63">
        <f t="shared" si="102"/>
        <v>0</v>
      </c>
      <c r="G482" s="83">
        <f t="shared" si="100"/>
        <v>0</v>
      </c>
      <c r="H482" s="84">
        <f t="shared" si="103"/>
        <v>0</v>
      </c>
      <c r="I482" s="91">
        <f t="shared" si="101"/>
        <v>0</v>
      </c>
      <c r="J482" s="92">
        <f t="shared" si="104"/>
        <v>0</v>
      </c>
    </row>
    <row r="483" spans="2:11" x14ac:dyDescent="0.35">
      <c r="B483" s="68" t="s">
        <v>81</v>
      </c>
      <c r="C483" s="72"/>
      <c r="D483" s="45">
        <f>IF(IF($C$4="Privado",1,0)=1,VLOOKUP(B483,'Piezas Sanitarias'!$B$4:$F$20,4,FALSE),VLOOKUP(B483,'Piezas Sanitarias'!$B$4:$F$20,5,FALSE))</f>
        <v>0</v>
      </c>
      <c r="E483" s="75" t="s">
        <v>80</v>
      </c>
      <c r="F483" s="63">
        <f t="shared" si="102"/>
        <v>0</v>
      </c>
      <c r="G483" s="83">
        <f t="shared" si="100"/>
        <v>0</v>
      </c>
      <c r="H483" s="84">
        <f t="shared" si="103"/>
        <v>0</v>
      </c>
      <c r="I483" s="91">
        <f t="shared" si="101"/>
        <v>0</v>
      </c>
      <c r="J483" s="92">
        <f>C483*I483</f>
        <v>0</v>
      </c>
    </row>
    <row r="484" spans="2:11" x14ac:dyDescent="0.35">
      <c r="B484" s="68" t="s">
        <v>81</v>
      </c>
      <c r="C484" s="72"/>
      <c r="D484" s="45">
        <f>IF(IF($C$4="Privado",1,0)=1,VLOOKUP(B484,'Piezas Sanitarias'!$B$4:$F$20,4,FALSE),VLOOKUP(B484,'Piezas Sanitarias'!$B$4:$F$20,5,FALSE))</f>
        <v>0</v>
      </c>
      <c r="E484" s="75" t="s">
        <v>80</v>
      </c>
      <c r="F484" s="63">
        <f t="shared" si="102"/>
        <v>0</v>
      </c>
      <c r="G484" s="83">
        <f t="shared" si="100"/>
        <v>0</v>
      </c>
      <c r="H484" s="84">
        <f t="shared" si="103"/>
        <v>0</v>
      </c>
      <c r="I484" s="91">
        <f t="shared" si="101"/>
        <v>0</v>
      </c>
      <c r="J484" s="92">
        <f>C484*I484</f>
        <v>0</v>
      </c>
    </row>
    <row r="485" spans="2:11" ht="15" thickBot="1" x14ac:dyDescent="0.4">
      <c r="B485" s="69" t="s">
        <v>81</v>
      </c>
      <c r="C485" s="73"/>
      <c r="D485" s="46">
        <f>IF(IF($C$4="Privado",1,0)=1,VLOOKUP(B485,'Piezas Sanitarias'!$B$4:$F$20,4,FALSE),VLOOKUP(B485,'Piezas Sanitarias'!$B$4:$F$20,5,FALSE))</f>
        <v>0</v>
      </c>
      <c r="E485" s="76" t="s">
        <v>80</v>
      </c>
      <c r="F485" s="64">
        <f t="shared" si="102"/>
        <v>0</v>
      </c>
      <c r="G485" s="85">
        <f t="shared" si="100"/>
        <v>0</v>
      </c>
      <c r="H485" s="86">
        <f>C485*G485</f>
        <v>0</v>
      </c>
      <c r="I485" s="93">
        <f t="shared" si="101"/>
        <v>0</v>
      </c>
      <c r="J485" s="94">
        <f>C485*I485</f>
        <v>0</v>
      </c>
    </row>
    <row r="486" spans="2:11" ht="15.5" x14ac:dyDescent="0.35">
      <c r="B486" s="1"/>
      <c r="C486" s="52"/>
      <c r="D486" s="53" t="s">
        <v>1</v>
      </c>
      <c r="E486" s="53"/>
      <c r="F486" s="77">
        <f>SUM(F476:F485)</f>
        <v>4</v>
      </c>
      <c r="G486" s="54"/>
      <c r="H486" s="77">
        <f>SUM(H476:H485)</f>
        <v>3.75</v>
      </c>
      <c r="I486" s="54"/>
      <c r="J486" s="77">
        <f>SUM(J476:J485)</f>
        <v>0.75</v>
      </c>
      <c r="K486" s="54"/>
    </row>
    <row r="487" spans="2:11" ht="16.5" x14ac:dyDescent="0.35">
      <c r="B487" s="1"/>
      <c r="C487" s="1"/>
      <c r="D487" s="1" t="s">
        <v>2</v>
      </c>
      <c r="E487" s="1"/>
      <c r="F487" s="78">
        <f>(IFERROR(
IF($C$3="Tanques",
   IF(F486&lt;100,
      0.13*POWER(F486,0.669),
      0.0145*F486+1.39-0.00000283*POWER(F486,2)
   ),
   IF($C$3="Fluxometros",
      IF(F486&lt;150,
         0.68*POWER(F486,0.4),
         0.0122*F486+3.37-0.00000215*POWER(F486,2)
      )
   )
),
0))/1000</f>
        <v>3.286408055977298E-4</v>
      </c>
      <c r="G487" s="56" t="s">
        <v>37</v>
      </c>
      <c r="H487" s="78">
        <f>(IFERROR(
IF($C$3="Tanques",
   IF(H486&lt;100,
      0.13*POWER(H486,0.669),
      0.0145*H486+1.39-0.00000283*POWER(H486,2)
   ),
   IF($C$3="Fluxometros",
      IF(H486&lt;150,
         0.68*POWER(H486,0.4),
         0.0122*H486+3.37-0.00000215*POWER(H486,2)
      )
   )
),
0))/1000</f>
        <v>3.1475328426949371E-4</v>
      </c>
      <c r="I487" s="56" t="s">
        <v>37</v>
      </c>
      <c r="J487" s="78">
        <f>(IFERROR(
IF($C$3="Tanques",
   IF(J486&lt;100,
      0.13*POWER(J486,0.669),
      0.0145*J486+1.39-0.00000283*POWER(J486,2)
   ),
   IF($C$3="Fluxometros",
      IF(J486&lt;150,
         0.68*POWER(J486,0.4),
         0.0122*J486+3.37-0.00000215*POWER(J486,2)
      )
   )
),
0))/1000</f>
        <v>1.0724062527725242E-4</v>
      </c>
      <c r="K487" s="56" t="s">
        <v>37</v>
      </c>
    </row>
    <row r="488" spans="2:11" ht="15.5" x14ac:dyDescent="0.35">
      <c r="C488" s="1"/>
      <c r="F488" s="95">
        <f>(IFERROR(
IF($C$3="Tanques",
   IF(F486&lt;100,
      0.13*POWER(F486,0.669),
      0.0145*F486+1.39-0.00000283*POWER(F486,2)
   ),
   IF($C$3="Fluxometros",
      IF(F486&lt;150,
         0.68*POWER(F486,0.4),
         0.0122*F486+3.37-0.00000215*POWER(F486,2)
      )
   )
),
0))</f>
        <v>0.32864080559772979</v>
      </c>
      <c r="G488" s="55" t="s">
        <v>36</v>
      </c>
      <c r="H488" s="95">
        <f>(IFERROR(
IF($C$3="Tanques",
   IF(H486&lt;100,
      0.13*POWER(H486,0.669),
      0.0145*H486+1.39-0.00000283*POWER(H486,2)
   ),
   IF($C$3="Fluxometros",
      IF(H486&lt;150,
         0.68*POWER(H486,0.4),
         0.0122*H486+3.37-0.00000215*POWER(H486,2)
      )
   )
),
0))</f>
        <v>0.31475328426949373</v>
      </c>
      <c r="I488" s="55" t="s">
        <v>36</v>
      </c>
      <c r="J488" s="95">
        <f>(IFERROR(
IF($C$3="Tanques",
   IF(J486&lt;100,
      0.13*POWER(J486,0.669),
      0.0145*J486+1.39-0.00000283*POWER(J486,2)
   ),
   IF($C$3="Fluxometros",
      IF(J486&lt;150,
         0.68*POWER(J486,0.4),
         0.0122*J486+3.37-0.00000215*POWER(J486,2)
      )
   )
),
0))</f>
        <v>0.10724062527725242</v>
      </c>
      <c r="K488" s="55" t="s">
        <v>36</v>
      </c>
    </row>
  </sheetData>
  <mergeCells count="21">
    <mergeCell ref="B471:J471"/>
    <mergeCell ref="B352:J352"/>
    <mergeCell ref="B376:J376"/>
    <mergeCell ref="B400:J400"/>
    <mergeCell ref="B424:J424"/>
    <mergeCell ref="B448:J448"/>
    <mergeCell ref="B234:J234"/>
    <mergeCell ref="B258:J258"/>
    <mergeCell ref="B281:J281"/>
    <mergeCell ref="B304:J304"/>
    <mergeCell ref="B329:J329"/>
    <mergeCell ref="B118:J118"/>
    <mergeCell ref="B141:J141"/>
    <mergeCell ref="B165:J165"/>
    <mergeCell ref="B188:J188"/>
    <mergeCell ref="B211:J211"/>
    <mergeCell ref="B2:J2"/>
    <mergeCell ref="B25:J25"/>
    <mergeCell ref="B49:J49"/>
    <mergeCell ref="B72:J72"/>
    <mergeCell ref="B95:J95"/>
  </mergeCells>
  <dataValidations count="3">
    <dataValidation type="list" allowBlank="1" showInputMessage="1" showErrorMessage="1" sqref="C4 C27 C51 C74 C97 C120 C143 C167 C190 C213 C236 C260 C283 C306 C331 C354 C378 C402 C426 C450 C473" xr:uid="{6A73FBB5-BB59-4995-87B8-585519B5D27C}">
      <formula1>"Privado, Público"</formula1>
    </dataValidation>
    <dataValidation type="list" allowBlank="1" showInputMessage="1" showErrorMessage="1" sqref="E7:E16 E30:E39 E54:E63 E77:E86 E100:E109 E123:E132 E146:E155 E170:E179 E193:E202 E216:E225 E239:E248 E263:E272 E286:E295 E309:E318 E334:E343 E357:E366 E381:E390 E405:E414 E429:E438 E453:E462 E476:E485" xr:uid="{D7E23626-5A3F-450C-9542-94D33E8E61EE}">
      <formula1>"Fría, Fría y Caliente"</formula1>
    </dataValidation>
    <dataValidation type="list" allowBlank="1" showInputMessage="1" showErrorMessage="1" sqref="C3 C26 C50 C73 C96 C119 C142 C166 C189 C212 C235 C259 C282 C305 C330 C353 C377 C401 C425 C449 C472" xr:uid="{2602C2E1-4F58-4110-BFF9-728B937E6CCF}">
      <formula1>"Tanques, Fluxometros"</formula1>
    </dataValidation>
  </dataValidations>
  <pageMargins left="0.7" right="0.7" top="0.75" bottom="0.75" header="0.3" footer="0.3"/>
  <pageSetup paperSize="119" orientation="portrait" horizontalDpi="720" verticalDpi="72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F77184C-2252-49D2-9E6A-7D5C25EF1138}">
          <x14:formula1>
            <xm:f>'Piezas Sanitarias'!$B$4:$B$20</xm:f>
          </x14:formula1>
          <xm:sqref>B7:B16 B30:B39 B54:B63 B77:B86 B100:B109 B123:B132 B146:B155 B170:B179 B193:B202 B216:B225 B239:B248 B263:B272 B286:B295 B309:B318 B334:B343 B357:B366 B381:B390 B405:B414 B429:B438 B453:B462 B476:B485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9FA54-8331-492D-A125-CDAC4937E906}">
  <dimension ref="B3:F20"/>
  <sheetViews>
    <sheetView workbookViewId="0">
      <selection activeCell="D13" sqref="D13"/>
    </sheetView>
  </sheetViews>
  <sheetFormatPr baseColWidth="10" defaultRowHeight="14.5" x14ac:dyDescent="0.35"/>
  <cols>
    <col min="1" max="1" width="10.90625" style="57"/>
    <col min="2" max="2" width="24.26953125" style="57" bestFit="1" customWidth="1"/>
    <col min="3" max="3" width="21" style="57" bestFit="1" customWidth="1"/>
    <col min="4" max="4" width="19.36328125" style="57" bestFit="1" customWidth="1"/>
    <col min="5" max="5" width="32.26953125" style="57" bestFit="1" customWidth="1"/>
    <col min="6" max="6" width="32.1796875" style="57" bestFit="1" customWidth="1"/>
    <col min="7" max="16384" width="10.90625" style="57"/>
  </cols>
  <sheetData>
    <row r="3" spans="2:6" x14ac:dyDescent="0.35">
      <c r="B3" s="58" t="s">
        <v>44</v>
      </c>
      <c r="C3" s="58" t="s">
        <v>45</v>
      </c>
      <c r="D3" s="58" t="s">
        <v>46</v>
      </c>
      <c r="E3" s="58" t="s">
        <v>47</v>
      </c>
      <c r="F3" s="58" t="s">
        <v>48</v>
      </c>
    </row>
    <row r="4" spans="2:6" x14ac:dyDescent="0.35">
      <c r="B4" s="59" t="s">
        <v>49</v>
      </c>
      <c r="C4" s="59">
        <v>12</v>
      </c>
      <c r="D4" s="59">
        <v>2</v>
      </c>
      <c r="E4" s="59">
        <v>2</v>
      </c>
      <c r="F4" s="59">
        <v>4</v>
      </c>
    </row>
    <row r="5" spans="2:6" x14ac:dyDescent="0.35">
      <c r="B5" s="59" t="s">
        <v>50</v>
      </c>
      <c r="C5" s="59">
        <v>12</v>
      </c>
      <c r="D5" s="59">
        <v>3</v>
      </c>
      <c r="E5" s="59">
        <v>1</v>
      </c>
      <c r="F5" s="59">
        <v>2</v>
      </c>
    </row>
    <row r="6" spans="2:6" x14ac:dyDescent="0.35">
      <c r="B6" s="59" t="s">
        <v>51</v>
      </c>
      <c r="C6" s="59">
        <v>12</v>
      </c>
      <c r="D6" s="59">
        <v>2</v>
      </c>
      <c r="E6" s="59">
        <v>2</v>
      </c>
      <c r="F6" s="59">
        <v>4</v>
      </c>
    </row>
    <row r="7" spans="2:6" x14ac:dyDescent="0.35">
      <c r="B7" s="59" t="s">
        <v>52</v>
      </c>
      <c r="C7" s="59">
        <v>12</v>
      </c>
      <c r="D7" s="59">
        <v>2</v>
      </c>
      <c r="E7" s="59">
        <v>2</v>
      </c>
      <c r="F7" s="59">
        <v>4</v>
      </c>
    </row>
    <row r="8" spans="2:6" x14ac:dyDescent="0.35">
      <c r="B8" s="59" t="s">
        <v>53</v>
      </c>
      <c r="C8" s="59">
        <v>12</v>
      </c>
      <c r="D8" s="59">
        <v>2</v>
      </c>
      <c r="E8" s="60">
        <v>0</v>
      </c>
      <c r="F8" s="59">
        <v>4</v>
      </c>
    </row>
    <row r="9" spans="2:6" x14ac:dyDescent="0.35">
      <c r="B9" s="59" t="s">
        <v>54</v>
      </c>
      <c r="C9" s="59">
        <v>12</v>
      </c>
      <c r="D9" s="59">
        <v>4</v>
      </c>
      <c r="E9" s="60">
        <v>0</v>
      </c>
      <c r="F9" s="59">
        <v>8</v>
      </c>
    </row>
    <row r="10" spans="2:6" x14ac:dyDescent="0.35">
      <c r="B10" s="59" t="s">
        <v>55</v>
      </c>
      <c r="C10" s="59">
        <v>12</v>
      </c>
      <c r="D10" s="59">
        <v>2</v>
      </c>
      <c r="E10" s="59">
        <v>3</v>
      </c>
      <c r="F10" s="59">
        <v>5</v>
      </c>
    </row>
    <row r="11" spans="2:6" x14ac:dyDescent="0.35">
      <c r="B11" s="59" t="s">
        <v>56</v>
      </c>
      <c r="C11" s="59">
        <v>32</v>
      </c>
      <c r="D11" s="59" t="s">
        <v>57</v>
      </c>
      <c r="E11" s="59">
        <v>6</v>
      </c>
      <c r="F11" s="59">
        <v>10</v>
      </c>
    </row>
    <row r="12" spans="2:6" x14ac:dyDescent="0.35">
      <c r="B12" s="59" t="s">
        <v>58</v>
      </c>
      <c r="C12" s="59">
        <v>12</v>
      </c>
      <c r="D12" s="59" t="s">
        <v>59</v>
      </c>
      <c r="E12" s="60">
        <v>0</v>
      </c>
      <c r="F12" s="59">
        <v>1</v>
      </c>
    </row>
    <row r="13" spans="2:6" x14ac:dyDescent="0.35">
      <c r="B13" s="59" t="s">
        <v>60</v>
      </c>
      <c r="C13" s="59">
        <v>12</v>
      </c>
      <c r="D13" s="59">
        <v>2</v>
      </c>
      <c r="E13" s="59">
        <v>1</v>
      </c>
      <c r="F13" s="59">
        <v>2</v>
      </c>
    </row>
    <row r="14" spans="2:6" x14ac:dyDescent="0.35">
      <c r="B14" s="59" t="s">
        <v>61</v>
      </c>
      <c r="C14" s="59">
        <v>12</v>
      </c>
      <c r="D14" s="59" t="s">
        <v>62</v>
      </c>
      <c r="E14" s="59">
        <v>4</v>
      </c>
      <c r="F14" s="60">
        <v>0</v>
      </c>
    </row>
    <row r="15" spans="2:6" x14ac:dyDescent="0.35">
      <c r="B15" s="59" t="s">
        <v>63</v>
      </c>
      <c r="C15" s="59">
        <v>12</v>
      </c>
      <c r="D15" s="59">
        <v>10</v>
      </c>
      <c r="E15" s="59">
        <v>2</v>
      </c>
      <c r="F15" s="59">
        <v>2</v>
      </c>
    </row>
    <row r="16" spans="2:6" x14ac:dyDescent="0.35">
      <c r="B16" s="59" t="s">
        <v>64</v>
      </c>
      <c r="C16" s="59">
        <v>18</v>
      </c>
      <c r="D16" s="59">
        <v>2</v>
      </c>
      <c r="E16" s="60">
        <v>0</v>
      </c>
      <c r="F16" s="59">
        <v>3</v>
      </c>
    </row>
    <row r="17" spans="2:6" x14ac:dyDescent="0.35">
      <c r="B17" s="59" t="s">
        <v>65</v>
      </c>
      <c r="C17" s="59">
        <v>18</v>
      </c>
      <c r="D17" s="59" t="s">
        <v>66</v>
      </c>
      <c r="E17" s="59">
        <v>5</v>
      </c>
      <c r="F17" s="59">
        <v>6</v>
      </c>
    </row>
    <row r="18" spans="2:6" x14ac:dyDescent="0.35">
      <c r="B18" s="59" t="s">
        <v>67</v>
      </c>
      <c r="C18" s="59">
        <v>12</v>
      </c>
      <c r="D18" s="59">
        <v>2</v>
      </c>
      <c r="E18" s="59">
        <v>1.5</v>
      </c>
      <c r="F18" s="60">
        <v>0</v>
      </c>
    </row>
    <row r="19" spans="2:6" x14ac:dyDescent="0.35">
      <c r="B19" s="59" t="s">
        <v>68</v>
      </c>
      <c r="C19" s="59">
        <v>12</v>
      </c>
      <c r="D19" s="59">
        <v>2</v>
      </c>
      <c r="E19" s="59">
        <v>2</v>
      </c>
      <c r="F19" s="59">
        <v>4</v>
      </c>
    </row>
    <row r="20" spans="2:6" x14ac:dyDescent="0.35">
      <c r="B20" s="57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4C585-3AAF-4F8E-9C2D-1C1A228B28E0}">
  <dimension ref="B2:Q22"/>
  <sheetViews>
    <sheetView tabSelected="1" zoomScale="110" zoomScaleNormal="110" workbookViewId="0">
      <selection activeCell="G7" sqref="G7:G22"/>
    </sheetView>
  </sheetViews>
  <sheetFormatPr baseColWidth="10" defaultRowHeight="14.5" x14ac:dyDescent="0.35"/>
  <cols>
    <col min="2" max="2" width="10.26953125" bestFit="1" customWidth="1"/>
    <col min="3" max="3" width="11.54296875" bestFit="1" customWidth="1"/>
    <col min="4" max="5" width="12.81640625" bestFit="1" customWidth="1"/>
    <col min="6" max="7" width="9" bestFit="1" customWidth="1"/>
    <col min="8" max="8" width="10.26953125" bestFit="1" customWidth="1"/>
    <col min="9" max="9" width="12.81640625" bestFit="1" customWidth="1"/>
    <col min="10" max="10" width="6.453125" bestFit="1" customWidth="1"/>
    <col min="11" max="12" width="10.26953125" bestFit="1" customWidth="1"/>
    <col min="13" max="13" width="11.453125" bestFit="1" customWidth="1"/>
    <col min="14" max="14" width="11.54296875" bestFit="1" customWidth="1"/>
  </cols>
  <sheetData>
    <row r="2" spans="2:16" ht="15" thickBot="1" x14ac:dyDescent="0.4"/>
    <row r="3" spans="2:16" x14ac:dyDescent="0.35">
      <c r="B3" s="97" t="s">
        <v>3</v>
      </c>
      <c r="C3" s="37" t="s">
        <v>4</v>
      </c>
      <c r="D3" s="97" t="s">
        <v>5</v>
      </c>
      <c r="E3" s="97" t="s">
        <v>6</v>
      </c>
      <c r="F3" s="37" t="s">
        <v>7</v>
      </c>
      <c r="G3" s="37" t="s">
        <v>7</v>
      </c>
      <c r="H3" s="37" t="s">
        <v>7</v>
      </c>
      <c r="I3" s="97" t="s">
        <v>8</v>
      </c>
      <c r="J3" s="97" t="s">
        <v>14</v>
      </c>
      <c r="K3" s="37" t="s">
        <v>39</v>
      </c>
      <c r="L3" s="37" t="s">
        <v>40</v>
      </c>
      <c r="M3" s="37" t="s">
        <v>25</v>
      </c>
      <c r="N3" s="37" t="s">
        <v>9</v>
      </c>
      <c r="O3" s="37" t="s">
        <v>10</v>
      </c>
      <c r="P3" s="97" t="s">
        <v>3</v>
      </c>
    </row>
    <row r="4" spans="2:16" x14ac:dyDescent="0.35">
      <c r="B4" s="98"/>
      <c r="C4" s="38" t="s">
        <v>41</v>
      </c>
      <c r="D4" s="98"/>
      <c r="E4" s="98"/>
      <c r="F4" s="38" t="s">
        <v>11</v>
      </c>
      <c r="G4" s="38" t="s">
        <v>12</v>
      </c>
      <c r="H4" s="38" t="s">
        <v>13</v>
      </c>
      <c r="I4" s="98"/>
      <c r="J4" s="98"/>
      <c r="K4" s="38" t="s">
        <v>40</v>
      </c>
      <c r="L4" s="38" t="s">
        <v>42</v>
      </c>
      <c r="M4" s="38" t="s">
        <v>43</v>
      </c>
      <c r="N4" s="38" t="s">
        <v>15</v>
      </c>
      <c r="O4" s="38" t="s">
        <v>16</v>
      </c>
      <c r="P4" s="98"/>
    </row>
    <row r="5" spans="2:16" ht="17" thickBot="1" x14ac:dyDescent="0.4">
      <c r="B5" s="100"/>
      <c r="C5" s="39" t="s">
        <v>17</v>
      </c>
      <c r="D5" s="39" t="s">
        <v>35</v>
      </c>
      <c r="E5" s="39" t="s">
        <v>18</v>
      </c>
      <c r="F5" s="39" t="s">
        <v>19</v>
      </c>
      <c r="G5" s="39" t="s">
        <v>19</v>
      </c>
      <c r="H5" s="39" t="s">
        <v>20</v>
      </c>
      <c r="I5" s="100"/>
      <c r="J5" s="100"/>
      <c r="K5" s="39" t="s">
        <v>21</v>
      </c>
      <c r="L5" s="39" t="s">
        <v>21</v>
      </c>
      <c r="M5" s="39" t="s">
        <v>17</v>
      </c>
      <c r="N5" s="39"/>
      <c r="O5" s="39" t="s">
        <v>21</v>
      </c>
      <c r="P5" s="99"/>
    </row>
    <row r="6" spans="2:16" x14ac:dyDescent="0.35">
      <c r="B6" s="2"/>
      <c r="C6" s="3"/>
      <c r="D6" s="10"/>
      <c r="E6" s="4"/>
      <c r="F6" s="10"/>
      <c r="G6" s="4"/>
      <c r="H6" s="4"/>
      <c r="I6" s="4"/>
      <c r="J6" s="42"/>
      <c r="K6" s="5"/>
      <c r="L6" s="6"/>
      <c r="M6" s="6"/>
      <c r="N6" s="7"/>
      <c r="O6" s="8"/>
      <c r="P6" s="9"/>
    </row>
    <row r="7" spans="2:16" x14ac:dyDescent="0.35">
      <c r="B7" s="11" t="s">
        <v>22</v>
      </c>
      <c r="C7" s="101">
        <v>1.75</v>
      </c>
      <c r="D7" s="12">
        <f>'Caudal de Diseño'!J18</f>
        <v>5.9646839981147652E-4</v>
      </c>
      <c r="E7" s="13">
        <v>1.5</v>
      </c>
      <c r="F7" s="14">
        <f t="shared" ref="F7:F22" si="0">((((4*D7)/(PI()*E7))^(0.5))*1000)</f>
        <v>22.501068920162812</v>
      </c>
      <c r="G7" s="15">
        <v>25</v>
      </c>
      <c r="H7" s="16"/>
      <c r="I7" s="18">
        <v>26</v>
      </c>
      <c r="J7" s="17">
        <v>160</v>
      </c>
      <c r="K7" s="19">
        <f>((10.675*((D7/J7))^(1.85))*C7)/(G7/1000)^(4.87)</f>
        <v>0.10731313605681779</v>
      </c>
      <c r="L7" s="15"/>
      <c r="M7" s="16"/>
      <c r="N7" s="20"/>
      <c r="O7" s="20"/>
      <c r="P7" s="11" t="s">
        <v>22</v>
      </c>
    </row>
    <row r="8" spans="2:16" x14ac:dyDescent="0.35">
      <c r="B8" s="21" t="s">
        <v>23</v>
      </c>
      <c r="C8" s="102">
        <v>3.1</v>
      </c>
      <c r="D8" s="22">
        <f>'Caudal de Diseño'!J274</f>
        <v>2.71104965260927E-4</v>
      </c>
      <c r="E8" s="23">
        <v>1.5</v>
      </c>
      <c r="F8" s="24">
        <f t="shared" si="0"/>
        <v>15.169740989752478</v>
      </c>
      <c r="G8" s="25">
        <v>18</v>
      </c>
      <c r="H8" s="26"/>
      <c r="I8" s="27">
        <v>26</v>
      </c>
      <c r="J8" s="17">
        <v>160</v>
      </c>
      <c r="K8" s="28">
        <f t="shared" ref="K8:K22" si="1">((10.675*((D8/J8))^(1.85))*C8)/(G8/1000)^(4.87)</f>
        <v>0.21889449139482275</v>
      </c>
      <c r="L8" s="25"/>
      <c r="M8" s="26"/>
      <c r="N8" s="29"/>
      <c r="O8" s="29"/>
      <c r="P8" s="21" t="s">
        <v>23</v>
      </c>
    </row>
    <row r="9" spans="2:16" x14ac:dyDescent="0.35">
      <c r="B9" s="21" t="s">
        <v>91</v>
      </c>
      <c r="C9" s="102">
        <v>4.9800000000000004</v>
      </c>
      <c r="D9" s="22">
        <f>'Caudal de Diseño'!J297</f>
        <v>4.6638822410227616E-4</v>
      </c>
      <c r="E9" s="23">
        <v>1.5</v>
      </c>
      <c r="F9" s="24">
        <f t="shared" si="0"/>
        <v>19.89679924218672</v>
      </c>
      <c r="G9" s="25">
        <v>25</v>
      </c>
      <c r="H9" s="26"/>
      <c r="I9" s="27">
        <v>26</v>
      </c>
      <c r="J9" s="17">
        <v>160</v>
      </c>
      <c r="K9" s="28">
        <f t="shared" si="1"/>
        <v>0.19372712461596636</v>
      </c>
      <c r="L9" s="25"/>
      <c r="M9" s="26"/>
      <c r="N9" s="29"/>
      <c r="O9" s="29"/>
      <c r="P9" s="21" t="s">
        <v>24</v>
      </c>
    </row>
    <row r="10" spans="2:16" x14ac:dyDescent="0.35">
      <c r="B10" s="21" t="s">
        <v>26</v>
      </c>
      <c r="C10" s="102">
        <v>21.38</v>
      </c>
      <c r="D10" s="22">
        <f>D9</f>
        <v>4.6638822410227616E-4</v>
      </c>
      <c r="E10" s="23">
        <v>1.5</v>
      </c>
      <c r="F10" s="24">
        <f t="shared" si="0"/>
        <v>19.89679924218672</v>
      </c>
      <c r="G10" s="25">
        <v>25</v>
      </c>
      <c r="H10" s="26"/>
      <c r="I10" s="27">
        <v>26</v>
      </c>
      <c r="J10" s="17">
        <v>160</v>
      </c>
      <c r="K10" s="28">
        <f t="shared" si="1"/>
        <v>0.83170400086131735</v>
      </c>
      <c r="L10" s="25"/>
      <c r="M10" s="26"/>
      <c r="N10" s="29"/>
      <c r="O10" s="30"/>
      <c r="P10" s="21" t="s">
        <v>26</v>
      </c>
    </row>
    <row r="11" spans="2:16" x14ac:dyDescent="0.35">
      <c r="B11" s="21" t="s">
        <v>27</v>
      </c>
      <c r="C11" s="102">
        <v>7.1</v>
      </c>
      <c r="D11" s="22">
        <f>D10</f>
        <v>4.6638822410227616E-4</v>
      </c>
      <c r="E11" s="23">
        <v>1.5</v>
      </c>
      <c r="F11" s="24">
        <f t="shared" si="0"/>
        <v>19.89679924218672</v>
      </c>
      <c r="G11" s="25">
        <v>25</v>
      </c>
      <c r="H11" s="26"/>
      <c r="I11" s="27">
        <v>26</v>
      </c>
      <c r="J11" s="17">
        <v>160</v>
      </c>
      <c r="K11" s="28">
        <f t="shared" si="1"/>
        <v>0.27619730617938976</v>
      </c>
      <c r="L11" s="25"/>
      <c r="M11" s="26"/>
      <c r="N11" s="29"/>
      <c r="O11" s="29"/>
      <c r="P11" s="21" t="s">
        <v>27</v>
      </c>
    </row>
    <row r="12" spans="2:16" x14ac:dyDescent="0.35">
      <c r="B12" s="21" t="s">
        <v>28</v>
      </c>
      <c r="C12" s="102">
        <v>2.83</v>
      </c>
      <c r="D12" s="22">
        <f>'Caudal de Diseño'!J320</f>
        <v>1.0724062527725242E-4</v>
      </c>
      <c r="E12" s="23">
        <v>1.5</v>
      </c>
      <c r="F12" s="24">
        <f t="shared" si="0"/>
        <v>9.5408946088272391</v>
      </c>
      <c r="G12" s="25">
        <v>12</v>
      </c>
      <c r="H12" s="26"/>
      <c r="I12" s="27">
        <v>26</v>
      </c>
      <c r="J12" s="17">
        <v>160</v>
      </c>
      <c r="K12" s="28">
        <f t="shared" si="1"/>
        <v>0.25887162951294967</v>
      </c>
      <c r="L12" s="25"/>
      <c r="M12" s="26"/>
      <c r="N12" s="29"/>
      <c r="O12" s="29"/>
      <c r="P12" s="21" t="s">
        <v>28</v>
      </c>
    </row>
    <row r="13" spans="2:16" x14ac:dyDescent="0.35">
      <c r="B13" s="21" t="s">
        <v>83</v>
      </c>
      <c r="C13" s="102">
        <v>2.29</v>
      </c>
      <c r="D13" s="22">
        <f>'Caudal de Diseño'!J345</f>
        <v>2.2364204607961224E-4</v>
      </c>
      <c r="E13" s="23">
        <v>1.5</v>
      </c>
      <c r="F13" s="24">
        <f t="shared" si="0"/>
        <v>13.777999296802754</v>
      </c>
      <c r="G13" s="25">
        <v>18</v>
      </c>
      <c r="H13" s="26"/>
      <c r="I13" s="40">
        <v>26</v>
      </c>
      <c r="J13" s="17">
        <v>160</v>
      </c>
      <c r="K13" s="28">
        <f t="shared" si="1"/>
        <v>0.11326042672965386</v>
      </c>
      <c r="L13" s="25"/>
      <c r="M13" s="26"/>
      <c r="N13" s="29"/>
      <c r="O13" s="29"/>
      <c r="P13" s="21" t="s">
        <v>29</v>
      </c>
    </row>
    <row r="14" spans="2:16" x14ac:dyDescent="0.35">
      <c r="B14" s="21" t="s">
        <v>30</v>
      </c>
      <c r="C14" s="102">
        <v>3.95</v>
      </c>
      <c r="D14" s="22">
        <f>'Caudal de Diseño'!J345</f>
        <v>2.2364204607961224E-4</v>
      </c>
      <c r="E14" s="23">
        <v>1.5</v>
      </c>
      <c r="F14" s="24">
        <f t="shared" si="0"/>
        <v>13.777999296802754</v>
      </c>
      <c r="G14" s="25">
        <v>18</v>
      </c>
      <c r="H14" s="26"/>
      <c r="I14" s="27">
        <v>26</v>
      </c>
      <c r="J14" s="17">
        <v>160</v>
      </c>
      <c r="K14" s="28">
        <f t="shared" si="1"/>
        <v>0.19536187143324577</v>
      </c>
      <c r="L14" s="25"/>
      <c r="M14" s="26"/>
      <c r="N14" s="29"/>
      <c r="O14" s="29"/>
      <c r="P14" s="21" t="s">
        <v>30</v>
      </c>
    </row>
    <row r="15" spans="2:16" x14ac:dyDescent="0.35">
      <c r="B15" s="21" t="s">
        <v>31</v>
      </c>
      <c r="C15" s="102">
        <v>6.92</v>
      </c>
      <c r="D15" s="22">
        <f>'Caudal de Diseño'!J392</f>
        <v>3.1475328426949371E-4</v>
      </c>
      <c r="E15" s="23">
        <v>1.5</v>
      </c>
      <c r="F15" s="24">
        <f t="shared" si="0"/>
        <v>16.34536281573844</v>
      </c>
      <c r="G15" s="25">
        <v>18</v>
      </c>
      <c r="H15" s="26"/>
      <c r="I15" s="27">
        <v>26</v>
      </c>
      <c r="J15" s="17">
        <v>160</v>
      </c>
      <c r="K15" s="28">
        <f t="shared" si="1"/>
        <v>0.64405048358734474</v>
      </c>
      <c r="L15" s="25"/>
      <c r="M15" s="26"/>
      <c r="N15" s="29"/>
      <c r="O15" s="110"/>
      <c r="P15" s="21" t="s">
        <v>31</v>
      </c>
    </row>
    <row r="16" spans="2:16" x14ac:dyDescent="0.35">
      <c r="B16" s="21" t="s">
        <v>32</v>
      </c>
      <c r="C16" s="102">
        <v>30.63</v>
      </c>
      <c r="D16" s="22">
        <f>D15</f>
        <v>3.1475328426949371E-4</v>
      </c>
      <c r="E16" s="23">
        <v>1.5</v>
      </c>
      <c r="F16" s="24">
        <f t="shared" si="0"/>
        <v>16.34536281573844</v>
      </c>
      <c r="G16" s="25">
        <v>18</v>
      </c>
      <c r="H16" s="26"/>
      <c r="I16" s="27">
        <v>26</v>
      </c>
      <c r="J16" s="17">
        <v>160</v>
      </c>
      <c r="K16" s="28">
        <f t="shared" si="1"/>
        <v>2.8507610277861803</v>
      </c>
      <c r="L16" s="25"/>
      <c r="M16" s="26"/>
      <c r="N16" s="29"/>
      <c r="O16" s="29"/>
      <c r="P16" s="21" t="s">
        <v>32</v>
      </c>
    </row>
    <row r="17" spans="2:17" x14ac:dyDescent="0.35">
      <c r="B17" s="21" t="s">
        <v>33</v>
      </c>
      <c r="C17" s="102">
        <v>3.92</v>
      </c>
      <c r="D17" s="22">
        <f>'Caudal de Diseño'!J416</f>
        <v>1.0724062527725242E-4</v>
      </c>
      <c r="E17" s="23">
        <v>1.5</v>
      </c>
      <c r="F17" s="24">
        <f t="shared" si="0"/>
        <v>9.5408946088272391</v>
      </c>
      <c r="G17" s="25">
        <v>12</v>
      </c>
      <c r="H17" s="26"/>
      <c r="I17" s="40">
        <v>26</v>
      </c>
      <c r="J17" s="17">
        <v>160</v>
      </c>
      <c r="K17" s="28">
        <f t="shared" si="1"/>
        <v>0.35857837020875005</v>
      </c>
      <c r="L17" s="25"/>
      <c r="M17" s="26"/>
      <c r="N17" s="29"/>
      <c r="O17" s="29"/>
      <c r="P17" s="21" t="s">
        <v>33</v>
      </c>
    </row>
    <row r="18" spans="2:17" x14ac:dyDescent="0.35">
      <c r="B18" s="31" t="s">
        <v>92</v>
      </c>
      <c r="C18" s="103">
        <v>14.28</v>
      </c>
      <c r="D18" s="32">
        <f>'Caudal de Diseño'!J440</f>
        <v>2.71104965260927E-4</v>
      </c>
      <c r="E18" s="23">
        <v>1.5</v>
      </c>
      <c r="F18" s="33">
        <f t="shared" si="0"/>
        <v>15.169740989752478</v>
      </c>
      <c r="G18" s="34">
        <v>18</v>
      </c>
      <c r="H18" s="33"/>
      <c r="I18" s="41">
        <v>26</v>
      </c>
      <c r="J18" s="17">
        <v>160</v>
      </c>
      <c r="K18" s="43">
        <f t="shared" si="1"/>
        <v>1.0083268829413126</v>
      </c>
      <c r="L18" s="34"/>
      <c r="M18" s="35"/>
      <c r="N18" s="36"/>
      <c r="O18" s="36"/>
      <c r="P18" s="31" t="s">
        <v>34</v>
      </c>
    </row>
    <row r="19" spans="2:17" x14ac:dyDescent="0.35">
      <c r="B19" s="104" t="s">
        <v>34</v>
      </c>
      <c r="C19" s="105">
        <v>7.12</v>
      </c>
      <c r="D19" s="32">
        <f>D18</f>
        <v>2.71104965260927E-4</v>
      </c>
      <c r="E19" s="23">
        <v>1.5</v>
      </c>
      <c r="F19" s="33">
        <f t="shared" si="0"/>
        <v>15.169740989752478</v>
      </c>
      <c r="G19" s="34">
        <v>18</v>
      </c>
      <c r="I19" s="41">
        <v>26</v>
      </c>
      <c r="J19" s="17">
        <v>160</v>
      </c>
      <c r="K19" s="106">
        <f t="shared" si="1"/>
        <v>0.50275121894552843</v>
      </c>
    </row>
    <row r="20" spans="2:17" x14ac:dyDescent="0.35">
      <c r="B20" s="104" t="s">
        <v>89</v>
      </c>
      <c r="C20" s="105">
        <v>4.03</v>
      </c>
      <c r="D20" s="32">
        <f>'Caudal de Diseño'!J464</f>
        <v>2.2364204607961224E-4</v>
      </c>
      <c r="E20" s="23">
        <v>1.5</v>
      </c>
      <c r="F20" s="33">
        <f t="shared" si="0"/>
        <v>13.777999296802754</v>
      </c>
      <c r="G20" s="34">
        <v>18</v>
      </c>
      <c r="I20" s="41">
        <v>26</v>
      </c>
      <c r="J20" s="17">
        <v>160</v>
      </c>
      <c r="K20" s="106">
        <f t="shared" si="1"/>
        <v>0.19931856756353936</v>
      </c>
    </row>
    <row r="21" spans="2:17" x14ac:dyDescent="0.35">
      <c r="B21" s="104" t="s">
        <v>93</v>
      </c>
      <c r="C21" s="105">
        <v>2.17</v>
      </c>
      <c r="D21" s="32">
        <f>'Caudal de Diseño'!J487</f>
        <v>1.0724062527725242E-4</v>
      </c>
      <c r="E21" s="23">
        <v>1.5</v>
      </c>
      <c r="F21" s="33">
        <f t="shared" si="0"/>
        <v>9.5408946088272391</v>
      </c>
      <c r="G21" s="34">
        <v>12</v>
      </c>
      <c r="I21" s="41">
        <v>26</v>
      </c>
      <c r="J21" s="17">
        <v>160</v>
      </c>
      <c r="K21" s="106">
        <f t="shared" si="1"/>
        <v>0.19849874065127235</v>
      </c>
    </row>
    <row r="22" spans="2:17" x14ac:dyDescent="0.35">
      <c r="B22" s="104" t="s">
        <v>94</v>
      </c>
      <c r="C22" s="105">
        <v>3.06</v>
      </c>
      <c r="D22" s="32">
        <f>D21</f>
        <v>1.0724062527725242E-4</v>
      </c>
      <c r="E22" s="23">
        <v>1.5</v>
      </c>
      <c r="F22" s="33">
        <f t="shared" si="0"/>
        <v>9.5408946088272391</v>
      </c>
      <c r="G22" s="34">
        <v>12</v>
      </c>
      <c r="I22" s="41">
        <v>26</v>
      </c>
      <c r="J22" s="17">
        <v>160</v>
      </c>
      <c r="K22" s="106">
        <f t="shared" si="1"/>
        <v>0.27991066654050395</v>
      </c>
      <c r="L22">
        <v>2</v>
      </c>
      <c r="M22">
        <v>0.75</v>
      </c>
      <c r="O22" s="112">
        <f>M22+L22+K22+K21+K19+K18+K16+K15+K13+K11+K10+K9+K7</f>
        <v>9.7565010148952851</v>
      </c>
      <c r="Q22" t="s">
        <v>90</v>
      </c>
    </row>
  </sheetData>
  <mergeCells count="6">
    <mergeCell ref="B3:B5"/>
    <mergeCell ref="D3:D4"/>
    <mergeCell ref="E3:E4"/>
    <mergeCell ref="I3:I5"/>
    <mergeCell ref="J3:J5"/>
    <mergeCell ref="P3:P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22"/>
  <sheetViews>
    <sheetView zoomScale="110" zoomScaleNormal="110" workbookViewId="0">
      <selection activeCell="Q16" sqref="Q16"/>
    </sheetView>
  </sheetViews>
  <sheetFormatPr baseColWidth="10" defaultRowHeight="14.5" x14ac:dyDescent="0.35"/>
  <cols>
    <col min="2" max="2" width="10.26953125" bestFit="1" customWidth="1"/>
    <col min="3" max="3" width="11.54296875" bestFit="1" customWidth="1"/>
    <col min="4" max="5" width="12.81640625" bestFit="1" customWidth="1"/>
    <col min="6" max="7" width="9" bestFit="1" customWidth="1"/>
    <col min="8" max="8" width="10.26953125" bestFit="1" customWidth="1"/>
    <col min="9" max="9" width="12.81640625" bestFit="1" customWidth="1"/>
    <col min="10" max="10" width="6.453125" bestFit="1" customWidth="1"/>
    <col min="11" max="12" width="10.26953125" bestFit="1" customWidth="1"/>
    <col min="13" max="13" width="11.453125" bestFit="1" customWidth="1"/>
    <col min="14" max="14" width="11.54296875" bestFit="1" customWidth="1"/>
  </cols>
  <sheetData>
    <row r="2" spans="2:17" ht="15" thickBot="1" x14ac:dyDescent="0.4"/>
    <row r="3" spans="2:17" x14ac:dyDescent="0.35">
      <c r="B3" s="97" t="s">
        <v>3</v>
      </c>
      <c r="C3" s="37" t="s">
        <v>4</v>
      </c>
      <c r="D3" s="97" t="s">
        <v>5</v>
      </c>
      <c r="E3" s="97" t="s">
        <v>6</v>
      </c>
      <c r="F3" s="37" t="s">
        <v>7</v>
      </c>
      <c r="G3" s="37" t="s">
        <v>7</v>
      </c>
      <c r="H3" s="37" t="s">
        <v>7</v>
      </c>
      <c r="I3" s="97" t="s">
        <v>8</v>
      </c>
      <c r="J3" s="97" t="s">
        <v>14</v>
      </c>
      <c r="K3" s="37" t="s">
        <v>39</v>
      </c>
      <c r="L3" s="37" t="s">
        <v>40</v>
      </c>
      <c r="M3" s="37" t="s">
        <v>25</v>
      </c>
      <c r="N3" s="37" t="s">
        <v>9</v>
      </c>
      <c r="O3" s="37" t="s">
        <v>10</v>
      </c>
      <c r="P3" s="97" t="s">
        <v>3</v>
      </c>
    </row>
    <row r="4" spans="2:17" x14ac:dyDescent="0.35">
      <c r="B4" s="98"/>
      <c r="C4" s="38" t="s">
        <v>41</v>
      </c>
      <c r="D4" s="98"/>
      <c r="E4" s="98"/>
      <c r="F4" s="38" t="s">
        <v>11</v>
      </c>
      <c r="G4" s="38" t="s">
        <v>12</v>
      </c>
      <c r="H4" s="38" t="s">
        <v>13</v>
      </c>
      <c r="I4" s="98"/>
      <c r="J4" s="98"/>
      <c r="K4" s="38" t="s">
        <v>40</v>
      </c>
      <c r="L4" s="38" t="s">
        <v>42</v>
      </c>
      <c r="M4" s="38" t="s">
        <v>43</v>
      </c>
      <c r="N4" s="38" t="s">
        <v>15</v>
      </c>
      <c r="O4" s="38" t="s">
        <v>16</v>
      </c>
      <c r="P4" s="98"/>
    </row>
    <row r="5" spans="2:17" ht="17" thickBot="1" x14ac:dyDescent="0.4">
      <c r="B5" s="100"/>
      <c r="C5" s="39" t="s">
        <v>17</v>
      </c>
      <c r="D5" s="39" t="s">
        <v>35</v>
      </c>
      <c r="E5" s="39" t="s">
        <v>18</v>
      </c>
      <c r="F5" s="39" t="s">
        <v>19</v>
      </c>
      <c r="G5" s="39" t="s">
        <v>19</v>
      </c>
      <c r="H5" s="39" t="s">
        <v>20</v>
      </c>
      <c r="I5" s="100"/>
      <c r="J5" s="100"/>
      <c r="K5" s="39" t="s">
        <v>21</v>
      </c>
      <c r="L5" s="39" t="s">
        <v>21</v>
      </c>
      <c r="M5" s="39" t="s">
        <v>17</v>
      </c>
      <c r="N5" s="39"/>
      <c r="O5" s="39" t="s">
        <v>21</v>
      </c>
      <c r="P5" s="99"/>
    </row>
    <row r="6" spans="2:17" x14ac:dyDescent="0.35">
      <c r="B6" s="2"/>
      <c r="C6" s="3"/>
      <c r="D6" s="10"/>
      <c r="E6" s="4"/>
      <c r="F6" s="10"/>
      <c r="G6" s="4"/>
      <c r="H6" s="4"/>
      <c r="I6" s="4"/>
      <c r="J6" s="42"/>
      <c r="K6" s="5"/>
      <c r="L6" s="6"/>
      <c r="M6" s="6"/>
      <c r="N6" s="7"/>
      <c r="O6" s="8"/>
      <c r="P6" s="9"/>
    </row>
    <row r="7" spans="2:17" x14ac:dyDescent="0.35">
      <c r="B7" s="11" t="s">
        <v>22</v>
      </c>
      <c r="C7" s="101">
        <v>5.63</v>
      </c>
      <c r="D7" s="12">
        <f>'Caudal de Diseño'!H18</f>
        <v>1.1717176323983486E-3</v>
      </c>
      <c r="E7" s="13">
        <v>1.5</v>
      </c>
      <c r="F7" s="14">
        <f t="shared" ref="F7:F22" si="0">((((4*D7)/(PI()*E7))^(0.5))*1000)</f>
        <v>31.53703880448127</v>
      </c>
      <c r="G7" s="15">
        <v>38</v>
      </c>
      <c r="H7" s="16"/>
      <c r="I7" s="18">
        <v>26</v>
      </c>
      <c r="J7" s="17">
        <v>160</v>
      </c>
      <c r="K7" s="19">
        <f>((10.675*((D7/J7))^(1.85))*C7)/(G7/1000)^(4.87)</f>
        <v>0.15668617583381483</v>
      </c>
      <c r="L7" s="15"/>
      <c r="M7" s="16"/>
      <c r="N7" s="20"/>
      <c r="O7" s="20"/>
      <c r="P7" s="11" t="s">
        <v>22</v>
      </c>
    </row>
    <row r="8" spans="2:17" x14ac:dyDescent="0.35">
      <c r="B8" s="21" t="s">
        <v>23</v>
      </c>
      <c r="C8" s="102">
        <v>24.15</v>
      </c>
      <c r="D8" s="22">
        <f>'Caudal de Diseño'!H41</f>
        <v>7.5980650635836032E-4</v>
      </c>
      <c r="E8" s="23">
        <v>1.5</v>
      </c>
      <c r="F8" s="24">
        <f t="shared" si="0"/>
        <v>25.395743609806392</v>
      </c>
      <c r="G8" s="25">
        <v>31</v>
      </c>
      <c r="H8" s="26"/>
      <c r="I8" s="27">
        <v>26</v>
      </c>
      <c r="J8" s="17">
        <v>160</v>
      </c>
      <c r="K8" s="28">
        <f t="shared" ref="K8:K22" si="1">((10.675*((D8/J8))^(1.85))*C8)/(G8/1000)^(4.87)</f>
        <v>0.81289072256172179</v>
      </c>
      <c r="L8" s="25"/>
      <c r="M8" s="26"/>
      <c r="N8" s="29"/>
      <c r="O8" s="29"/>
      <c r="P8" s="21" t="s">
        <v>23</v>
      </c>
    </row>
    <row r="9" spans="2:17" x14ac:dyDescent="0.35">
      <c r="B9" s="21" t="s">
        <v>24</v>
      </c>
      <c r="C9" s="102">
        <v>6.92</v>
      </c>
      <c r="D9" s="22">
        <f>D8</f>
        <v>7.5980650635836032E-4</v>
      </c>
      <c r="E9" s="23">
        <v>1.5</v>
      </c>
      <c r="F9" s="24">
        <f t="shared" si="0"/>
        <v>25.395743609806392</v>
      </c>
      <c r="G9" s="25">
        <v>31</v>
      </c>
      <c r="H9" s="26"/>
      <c r="I9" s="27">
        <v>26</v>
      </c>
      <c r="J9" s="17">
        <v>160</v>
      </c>
      <c r="K9" s="28">
        <f t="shared" si="1"/>
        <v>0.2329276935870441</v>
      </c>
      <c r="L9" s="25"/>
      <c r="M9" s="26"/>
      <c r="N9" s="29"/>
      <c r="O9" s="29"/>
      <c r="P9" s="21" t="s">
        <v>24</v>
      </c>
    </row>
    <row r="10" spans="2:17" x14ac:dyDescent="0.35">
      <c r="B10" s="21" t="s">
        <v>26</v>
      </c>
      <c r="C10" s="102">
        <v>5.29</v>
      </c>
      <c r="D10" s="22">
        <f>'Caudal de Diseño'!H65</f>
        <v>4.8922594262841405E-4</v>
      </c>
      <c r="E10" s="23">
        <v>1.5</v>
      </c>
      <c r="F10" s="24">
        <f t="shared" si="0"/>
        <v>20.378122524983059</v>
      </c>
      <c r="G10" s="25">
        <v>25</v>
      </c>
      <c r="H10" s="26"/>
      <c r="I10" s="27">
        <v>26</v>
      </c>
      <c r="J10" s="17">
        <v>160</v>
      </c>
      <c r="K10" s="28">
        <f t="shared" si="1"/>
        <v>0.2248155158608357</v>
      </c>
      <c r="L10" s="25"/>
      <c r="M10" s="26"/>
      <c r="N10" s="29"/>
      <c r="O10" s="30"/>
      <c r="P10" s="21" t="s">
        <v>26</v>
      </c>
    </row>
    <row r="11" spans="2:17" x14ac:dyDescent="0.35">
      <c r="B11" s="21" t="s">
        <v>82</v>
      </c>
      <c r="C11" s="102">
        <v>2.69</v>
      </c>
      <c r="D11" s="22">
        <f>'Caudal de Diseño'!H88</f>
        <v>4.6638822410227616E-4</v>
      </c>
      <c r="E11" s="23">
        <v>1.5</v>
      </c>
      <c r="F11" s="24">
        <f t="shared" si="0"/>
        <v>19.89679924218672</v>
      </c>
      <c r="G11" s="25">
        <v>25</v>
      </c>
      <c r="H11" s="26"/>
      <c r="I11" s="27">
        <v>26</v>
      </c>
      <c r="J11" s="17">
        <v>160</v>
      </c>
      <c r="K11" s="28">
        <f t="shared" si="1"/>
        <v>0.1046437681158533</v>
      </c>
      <c r="L11" s="25"/>
      <c r="M11" s="26"/>
      <c r="N11" s="29"/>
      <c r="O11" s="29"/>
      <c r="P11" s="21" t="s">
        <v>27</v>
      </c>
    </row>
    <row r="12" spans="2:17" x14ac:dyDescent="0.35">
      <c r="B12" s="21" t="s">
        <v>28</v>
      </c>
      <c r="C12" s="102">
        <v>3.03</v>
      </c>
      <c r="D12" s="22">
        <f>'Caudal de Diseño'!H111</f>
        <v>3.1475328426949371E-4</v>
      </c>
      <c r="E12" s="23">
        <v>1.5</v>
      </c>
      <c r="F12" s="24">
        <f t="shared" si="0"/>
        <v>16.34536281573844</v>
      </c>
      <c r="G12" s="25">
        <v>18</v>
      </c>
      <c r="H12" s="26"/>
      <c r="I12" s="27">
        <v>26</v>
      </c>
      <c r="J12" s="17">
        <v>160</v>
      </c>
      <c r="K12" s="28">
        <f t="shared" si="1"/>
        <v>0.28200476376729106</v>
      </c>
      <c r="L12" s="25"/>
      <c r="M12" s="26"/>
      <c r="N12" s="29"/>
      <c r="O12" s="29"/>
      <c r="P12" s="21" t="s">
        <v>28</v>
      </c>
    </row>
    <row r="13" spans="2:17" x14ac:dyDescent="0.35">
      <c r="B13" s="21" t="s">
        <v>83</v>
      </c>
      <c r="C13" s="102">
        <v>7.1</v>
      </c>
      <c r="D13" s="22">
        <f>'Caudal de Diseño'!H134</f>
        <v>2.71104965260927E-4</v>
      </c>
      <c r="E13" s="23">
        <v>1.5</v>
      </c>
      <c r="F13" s="24">
        <f t="shared" si="0"/>
        <v>15.169740989752478</v>
      </c>
      <c r="G13" s="25">
        <v>18</v>
      </c>
      <c r="H13" s="26"/>
      <c r="I13" s="40">
        <v>26</v>
      </c>
      <c r="J13" s="17">
        <v>160</v>
      </c>
      <c r="K13" s="28">
        <f t="shared" si="1"/>
        <v>0.50133899642040047</v>
      </c>
      <c r="L13" s="25"/>
      <c r="M13" s="26"/>
      <c r="N13" s="29"/>
      <c r="O13" s="29"/>
      <c r="P13" s="21" t="s">
        <v>29</v>
      </c>
    </row>
    <row r="14" spans="2:17" x14ac:dyDescent="0.35">
      <c r="B14" s="21" t="s">
        <v>30</v>
      </c>
      <c r="C14" s="102">
        <v>21.78</v>
      </c>
      <c r="D14" s="22">
        <f>D13</f>
        <v>2.71104965260927E-4</v>
      </c>
      <c r="E14" s="23">
        <v>1.5</v>
      </c>
      <c r="F14" s="24">
        <f t="shared" si="0"/>
        <v>15.169740989752478</v>
      </c>
      <c r="G14" s="25">
        <v>18</v>
      </c>
      <c r="H14" s="26"/>
      <c r="I14" s="27">
        <v>26</v>
      </c>
      <c r="J14" s="17">
        <v>160</v>
      </c>
      <c r="K14" s="28">
        <f t="shared" si="1"/>
        <v>1.5379103298642709</v>
      </c>
      <c r="L14" s="25"/>
      <c r="M14" s="26"/>
      <c r="N14" s="29"/>
      <c r="O14" s="29"/>
      <c r="P14" s="21" t="s">
        <v>30</v>
      </c>
    </row>
    <row r="15" spans="2:17" x14ac:dyDescent="0.35">
      <c r="B15" s="108" t="s">
        <v>84</v>
      </c>
      <c r="C15" s="102">
        <v>7.28</v>
      </c>
      <c r="D15" s="22">
        <f>D14</f>
        <v>2.71104965260927E-4</v>
      </c>
      <c r="E15" s="23">
        <v>1.5</v>
      </c>
      <c r="F15" s="24">
        <f t="shared" si="0"/>
        <v>15.169740989752478</v>
      </c>
      <c r="G15" s="25">
        <v>18</v>
      </c>
      <c r="H15" s="26"/>
      <c r="I15" s="27">
        <v>26</v>
      </c>
      <c r="J15" s="17">
        <v>160</v>
      </c>
      <c r="K15" s="28">
        <f t="shared" si="1"/>
        <v>0.51404899914655156</v>
      </c>
      <c r="L15" s="25">
        <v>2</v>
      </c>
      <c r="M15" s="26">
        <v>0.75</v>
      </c>
      <c r="N15" s="29"/>
      <c r="O15" s="110">
        <f>K15+K14+K13+K10+K9+K8+K7+M15+L15</f>
        <v>6.730618433274639</v>
      </c>
      <c r="P15" s="21" t="s">
        <v>31</v>
      </c>
      <c r="Q15" t="s">
        <v>90</v>
      </c>
    </row>
    <row r="16" spans="2:17" x14ac:dyDescent="0.35">
      <c r="B16" s="21" t="s">
        <v>85</v>
      </c>
      <c r="C16" s="102">
        <v>7.88</v>
      </c>
      <c r="D16" s="22">
        <f>'Caudal de Diseño'!H157</f>
        <v>7.1372295665954268E-4</v>
      </c>
      <c r="E16" s="23">
        <v>1.5</v>
      </c>
      <c r="F16" s="24">
        <f t="shared" si="0"/>
        <v>24.613550365658753</v>
      </c>
      <c r="G16" s="25">
        <v>31</v>
      </c>
      <c r="H16" s="26"/>
      <c r="I16" s="27">
        <v>26</v>
      </c>
      <c r="J16" s="17">
        <v>160</v>
      </c>
      <c r="K16" s="28">
        <f t="shared" si="1"/>
        <v>0.23624931951136507</v>
      </c>
      <c r="L16" s="25"/>
      <c r="M16" s="26"/>
      <c r="N16" s="29"/>
      <c r="O16" s="29"/>
      <c r="P16" s="21" t="s">
        <v>32</v>
      </c>
    </row>
    <row r="17" spans="2:16" x14ac:dyDescent="0.35">
      <c r="B17" s="21" t="s">
        <v>86</v>
      </c>
      <c r="C17" s="102">
        <v>4.12</v>
      </c>
      <c r="D17" s="22">
        <f>'Caudal de Diseño'!H181</f>
        <v>3.1475328426949371E-4</v>
      </c>
      <c r="E17" s="23">
        <v>1.5</v>
      </c>
      <c r="F17" s="24">
        <f t="shared" si="0"/>
        <v>16.34536281573844</v>
      </c>
      <c r="G17" s="25">
        <v>18</v>
      </c>
      <c r="H17" s="26"/>
      <c r="I17" s="40">
        <v>26</v>
      </c>
      <c r="J17" s="17">
        <v>160</v>
      </c>
      <c r="K17" s="28">
        <f t="shared" si="1"/>
        <v>0.38345202202021106</v>
      </c>
      <c r="L17" s="25"/>
      <c r="M17" s="26"/>
      <c r="N17" s="29"/>
      <c r="O17" s="29"/>
      <c r="P17" s="21" t="s">
        <v>33</v>
      </c>
    </row>
    <row r="18" spans="2:16" x14ac:dyDescent="0.35">
      <c r="B18" s="31" t="s">
        <v>33</v>
      </c>
      <c r="C18" s="103">
        <v>14.28</v>
      </c>
      <c r="D18" s="32">
        <f>'Caudal de Diseño'!H204</f>
        <v>5.6536847837791076E-4</v>
      </c>
      <c r="E18" s="23">
        <v>1.5</v>
      </c>
      <c r="F18" s="33">
        <f t="shared" si="0"/>
        <v>21.906612457087057</v>
      </c>
      <c r="G18" s="34">
        <v>25</v>
      </c>
      <c r="H18" s="33"/>
      <c r="I18" s="41">
        <v>26</v>
      </c>
      <c r="J18" s="17">
        <v>160</v>
      </c>
      <c r="K18" s="43">
        <f t="shared" si="1"/>
        <v>0.79308497924095023</v>
      </c>
      <c r="L18" s="34"/>
      <c r="M18" s="35"/>
      <c r="N18" s="36"/>
      <c r="O18" s="36"/>
      <c r="P18" s="31" t="s">
        <v>34</v>
      </c>
    </row>
    <row r="19" spans="2:16" x14ac:dyDescent="0.35">
      <c r="B19" s="104" t="s">
        <v>87</v>
      </c>
      <c r="C19" s="105">
        <v>7.12</v>
      </c>
      <c r="D19" s="32">
        <f>D18</f>
        <v>5.6536847837791076E-4</v>
      </c>
      <c r="E19" s="23">
        <v>1.5</v>
      </c>
      <c r="F19" s="33">
        <f t="shared" si="0"/>
        <v>21.906612457087057</v>
      </c>
      <c r="G19" s="34">
        <v>25</v>
      </c>
      <c r="I19" s="41">
        <v>26</v>
      </c>
      <c r="J19" s="17">
        <v>160</v>
      </c>
      <c r="K19" s="106">
        <f t="shared" si="1"/>
        <v>0.3954317263442273</v>
      </c>
    </row>
    <row r="20" spans="2:16" x14ac:dyDescent="0.35">
      <c r="B20" s="104" t="s">
        <v>88</v>
      </c>
      <c r="C20" s="105">
        <v>4.2300000000000004</v>
      </c>
      <c r="D20" s="32">
        <f>'Caudal de Diseño'!H227</f>
        <v>3.9421207807280794E-4</v>
      </c>
      <c r="E20" s="23">
        <v>1.5</v>
      </c>
      <c r="F20" s="33">
        <f t="shared" si="0"/>
        <v>18.292555987149971</v>
      </c>
      <c r="G20" s="34">
        <v>25</v>
      </c>
      <c r="I20" s="41">
        <v>26</v>
      </c>
      <c r="J20" s="17">
        <v>160</v>
      </c>
      <c r="K20" s="106">
        <f t="shared" si="1"/>
        <v>0.12056432098476495</v>
      </c>
    </row>
    <row r="21" spans="2:16" x14ac:dyDescent="0.35">
      <c r="B21" s="104" t="s">
        <v>34</v>
      </c>
      <c r="C21" s="105">
        <v>2.57</v>
      </c>
      <c r="D21" s="32">
        <f>'Caudal de Diseño'!H250</f>
        <v>3.1475328426949371E-4</v>
      </c>
      <c r="E21" s="23">
        <v>1.5</v>
      </c>
      <c r="F21" s="33">
        <f t="shared" si="0"/>
        <v>16.34536281573844</v>
      </c>
      <c r="G21" s="34">
        <v>18</v>
      </c>
      <c r="I21" s="41">
        <v>26</v>
      </c>
      <c r="J21" s="17">
        <v>160</v>
      </c>
      <c r="K21" s="106">
        <f t="shared" si="1"/>
        <v>0.23919215936697627</v>
      </c>
    </row>
    <row r="22" spans="2:16" x14ac:dyDescent="0.35">
      <c r="B22" s="107" t="s">
        <v>89</v>
      </c>
      <c r="C22" s="105">
        <v>3.26</v>
      </c>
      <c r="D22" s="32">
        <f>D21</f>
        <v>3.1475328426949371E-4</v>
      </c>
      <c r="E22" s="23">
        <v>1.5</v>
      </c>
      <c r="F22" s="33">
        <f t="shared" si="0"/>
        <v>16.34536281573844</v>
      </c>
      <c r="G22" s="34">
        <v>18</v>
      </c>
      <c r="I22" s="41">
        <v>26</v>
      </c>
      <c r="J22" s="17">
        <v>160</v>
      </c>
      <c r="K22" s="106">
        <f t="shared" si="1"/>
        <v>0.30341106596744849</v>
      </c>
      <c r="L22">
        <v>2</v>
      </c>
      <c r="M22">
        <v>0.75</v>
      </c>
      <c r="O22" s="109">
        <f>M22+L22+K22+K21+K19+K18+K16+K7</f>
        <v>4.8740554262647819</v>
      </c>
    </row>
  </sheetData>
  <mergeCells count="6">
    <mergeCell ref="P3:P5"/>
    <mergeCell ref="B3:B5"/>
    <mergeCell ref="D3:D4"/>
    <mergeCell ref="E3:E4"/>
    <mergeCell ref="I3:I5"/>
    <mergeCell ref="J3:J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Caudal de Diseño</vt:lpstr>
      <vt:lpstr>Piezas Sanitarias</vt:lpstr>
      <vt:lpstr>Memoria de Cálculo (2)</vt:lpstr>
      <vt:lpstr>Memoria de Cálculo</vt:lpstr>
    </vt:vector>
  </TitlesOfParts>
  <Company>Instituto Tecnológico de Costa 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adquesada</dc:creator>
  <cp:lastModifiedBy>Adrian Quesada Martinez</cp:lastModifiedBy>
  <dcterms:created xsi:type="dcterms:W3CDTF">2013-08-14T15:13:43Z</dcterms:created>
  <dcterms:modified xsi:type="dcterms:W3CDTF">2026-01-28T15:50:53Z</dcterms:modified>
</cp:coreProperties>
</file>